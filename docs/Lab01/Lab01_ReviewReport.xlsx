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J\Downloads\cevacutesting\brir3483\CheckLists\CheckLists\"/>
    </mc:Choice>
  </mc:AlternateContent>
  <xr:revisionPtr revIDLastSave="0" documentId="13_ncr:1_{7B1BA5EF-70CF-4CE3-BC7A-7F82DC56454E}" xr6:coauthVersionLast="47" xr6:coauthVersionMax="47" xr10:uidLastSave="{00000000-0000-0000-0000-000000000000}"/>
  <bookViews>
    <workbookView xWindow="22932" yWindow="-108" windowWidth="23256" windowHeight="12456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 s="1"/>
  <c r="B13" i="7" s="1"/>
  <c r="B20" i="7" s="1"/>
  <c r="B21" i="7" s="1"/>
  <c r="B22" i="7" s="1"/>
  <c r="B23" i="7" s="1"/>
  <c r="B24" i="7" s="1"/>
  <c r="B25" i="7" s="1"/>
  <c r="B13" i="6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<sst xmlns="http://schemas.openxmlformats.org/spreadsheetml/2006/main" count="137" uniqueCount="86">
  <si>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</si>
  <si>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</si>
  <si>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</si>
  <si>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</si>
  <si>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</si>
  <si>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</si>
  <si>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</si>
  <si>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</si>
  <si>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</si>
  <si>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</si>
  <si>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</si>
  <si>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</si>
  <si>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</si>
  <si>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</si>
  <si>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</si>
  <si>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</si>
  <si>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</si>
  <si>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</si>
  <si>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</si>
  <si>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</si>
  <si>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</si>
  <si>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</si>
  <si>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</si>
  <si>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</si>
  <si>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</si>
  <si>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</si>
  <si>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</si>
  <si>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</si>
  <si>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</si>
  <si>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</si>
  <si>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</si>
  <si>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</si>
  <si>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Ambiguity – Product ID constraint missing</t>
  </si>
  <si>
    <t>Requirements doc, FR Product Management</t>
  </si>
  <si>
    <t>Incompleteness – Reteta ID / Product ID coupling undocumented</t>
  </si>
  <si>
    <t>Requirements doc, FR Recipe Management</t>
  </si>
  <si>
    <t>The coupling between Reteta ID and Product ID (recipe ID=X belongs to product ID=X) was implemented in code but never mentioned in the requirements. IMPROVEMENT: Added FR-R2 in v2.0 explicitly documenting this relationship.</t>
  </si>
  <si>
    <t>Incompleteness – Validators not required to be called</t>
  </si>
  <si>
    <t>Requirements doc, NFR Validation</t>
  </si>
  <si>
    <t>Validator classes exist but the requirements never stated they must be invoked before saving. The service layer bypassed them entirely. IMPROVEMENT: Added NFR-2 in v2.0 requiring validators to be called in the service layer.</t>
  </si>
  <si>
    <t>Ambiguity – ALL enum value purpose not documented</t>
  </si>
  <si>
    <t>Requirements doc, Domain section</t>
  </si>
  <si>
    <t>CategorieBautura and TipBautura enums contain ALL but requirements never clarified if it is a valid product category or a UI filter sentinel. IMPROVEMENT: Added constraint in Section 4 v2.0: ALL is a filter sentinel only.</t>
  </si>
  <si>
    <t>Design Defect – Duplicate methods on Order class</t>
  </si>
  <si>
    <t>Diagram v1.0, Order class</t>
  </si>
  <si>
    <t>The diagram shows Order with both getTotal() and getTotalPrice(), both returning the same totalPrice field. Violates DRY. IMPROVEMENT: Removed getTotal() from diagram v2.0 and source code.</t>
  </si>
  <si>
    <t>Incompleteness – Product missing equals() and hashCode()</t>
  </si>
  <si>
    <t>Diagram v1.0, Product class</t>
  </si>
  <si>
    <t>Product is used in collections but diagram shows no equals() or hashCode(). Without them, object comparison uses reference equality, breaking collection lookups. IMPROVEMENT: Added equals() and hashCode() in diagram v2.0 and source code</t>
  </si>
  <si>
    <t>Missing Relationship – Validator not shown as dependency of Service</t>
  </si>
  <si>
    <t>Diagram v1.0, ProductService / OrderService</t>
  </si>
  <si>
    <t>No association between ProductService and ProductValidator, nor OrderService and OrderValidator in the diagram. This led to validators being defined but never called. IMPROVEMENT: Added validator composition arrows in diagram v2.0.</t>
  </si>
  <si>
    <t>Duplicate Code – Order.getTotal() duplicates getTotalPrice()</t>
  </si>
  <si>
    <t>Order.java, line 62-64</t>
  </si>
  <si>
    <t>getTotal() returns totalPrice — identical to getTotalPrice(). Violates DRY and confuses callers. FIX: Removed getTotal(). Updated all callers (DailyReportService, CsvExporter) to use getTotalPrice().</t>
  </si>
  <si>
    <t>Type Defect – (int) cast causes precision loss in StocService</t>
  </si>
  <si>
    <t>StocService.java, consuma(), line ~72</t>
  </si>
  <si>
    <t>Code: s.setCantitate((int)(s.getCantitate() - deScazut)) — casting double to int silently drops fractional part (e.g. 0.2 becomes 0). FIX: Removed the (int) cast.</t>
  </si>
  <si>
    <t>Unused Import – java.util.Date never used in CsvExporter</t>
  </si>
  <si>
    <t>CsvExporter.java, line 11</t>
  </si>
  <si>
    <t>import java.util.Date is present but the class uses LocalDate instead. Dead imports increase code noise. FIX: Removed import java.util.Date.</t>
  </si>
  <si>
    <t>The requirement did not specify that the product ID must be positive (&gt;0). A product with ID=0 or negative ID would pass without error. \IMPROVEMENT: Added explicit constraint in FR-P1 v2.0: ID must be &gt;0, price must be strictly &gt;0.</t>
  </si>
  <si>
    <t>Bucur Victor</t>
  </si>
  <si>
    <t>Birsan Raul</t>
  </si>
  <si>
    <t>Blajan David</t>
  </si>
  <si>
    <t>Declare "txtProdPrice" on a separate line.</t>
  </si>
  <si>
    <t xml:space="preserve"> private txtProdName, txtProdPrice;</t>
  </si>
  <si>
    <t>private TextField txtProdName;
 private TextField  txtProdPrice;</t>
  </si>
  <si>
    <r>
      <t xml:space="preserve">private </t>
    </r>
    <r>
      <rPr>
        <sz val="9.8000000000000007"/>
        <color rgb="FFBCBEC4"/>
        <rFont val="JetBrains Mono"/>
        <family val="3"/>
      </rPr>
      <t xml:space="preserve">TextField </t>
    </r>
    <r>
      <rPr>
        <sz val="9.8000000000000007"/>
        <color rgb="FFC77DBB"/>
        <rFont val="JetBrains Mono"/>
        <family val="3"/>
      </rPr>
      <t>txtNewIngredName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C77DBB"/>
        <rFont val="JetBrains Mono"/>
        <family val="3"/>
      </rPr>
      <t>txtNewIngredCant</t>
    </r>
    <r>
      <rPr>
        <sz val="9.8000000000000007"/>
        <color rgb="FFBCBEC4"/>
        <rFont val="JetBrains Mono"/>
        <family val="3"/>
      </rPr>
      <t>;</t>
    </r>
  </si>
  <si>
    <t>Declare "txtNewIngredCant" on a separate line.</t>
  </si>
  <si>
    <t>private TextField txtNewIngredName;
private TextField txtNewIngredCant;</t>
  </si>
  <si>
    <t>This block of commented-out lines of code should be removed.</t>
  </si>
  <si>
    <t>DrinkShopController, 26</t>
  </si>
  <si>
    <t>DrinkShopController, 39</t>
  </si>
  <si>
    <t>Product Service, 35</t>
  </si>
  <si>
    <t>//        Iterable&lt;Product&gt; it=productRepo.findAll();
//        ArrayList&lt;Product&gt; products=new ArrayList&lt;&gt;();
//        it.forEach(products::add);
//        return products;</t>
  </si>
  <si>
    <t>Product Service, 41</t>
  </si>
  <si>
    <t>//        return StreamSupport.stream(productRepo.findAll().spliterator(), false)
//                    .collect(Collectors.toList());</t>
  </si>
  <si>
    <t>Product Service, 46</t>
  </si>
  <si>
    <t>Replace this usage of 'Stream.collect(Collectors.toList())' with 'Stream.toList()' and ensure that the list is unmodified.</t>
  </si>
  <si>
    <r>
      <t>.collect(Collectors.</t>
    </r>
    <r>
      <rPr>
        <i/>
        <sz val="9.8000000000000007"/>
        <rFont val="JetBrains Mono"/>
        <family val="3"/>
      </rPr>
      <t>toList</t>
    </r>
    <r>
      <rPr>
        <sz val="9.8000000000000007"/>
        <rFont val="JetBrains Mono"/>
        <family val="3"/>
      </rPr>
      <t>());</t>
    </r>
  </si>
  <si>
    <t>Remove this unused import 'java.util.Map'.</t>
  </si>
  <si>
    <t>StocService, 9</t>
  </si>
  <si>
    <t>import java.util.Map;</t>
  </si>
  <si>
    <t>SonarQube</t>
  </si>
  <si>
    <t>Effort to perform tool-based code analysis (hours):1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</si>
</sst>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ongenial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sz val="9.8000000000000007"/>
      <color rgb="FFC77DBB"/>
      <name val="JetBrains Mono"/>
      <family val="3"/>
    </font>
    <font>
      <sz val="9.8000000000000007"/>
      <name val="JetBrains Mono"/>
      <family val="3"/>
    </font>
    <font>
      <i/>
      <sz val="9.8000000000000007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vertical="top"/>
    </xf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8"/>
  <sheetViews>
    <sheetView tabSelected="1" workbookViewId="0">
      <selection activeCell="J5" sqref="H3:J5"/>
    </sheetView>
  </sheetViews>
  <sheetFormatPr defaultColWidth="8.85546875" defaultRowHeight="15"/>
  <cols>
    <col min="1" max="1" width="8.85546875" style="6"/>
    <col min="2" max="2" width="12.28515625" style="6" customWidth="1"/>
    <col min="3" max="3" width="41.5703125" style="6" customWidth="1"/>
    <col min="4" max="4" width="48" style="6" customWidth="1"/>
    <col min="5" max="5" width="41.42578125" style="6" customWidth="1"/>
    <col min="6" max="8" width="8.85546875" style="6"/>
    <col min="9" max="9" width="21" style="6" customWidth="1"/>
    <col min="10" max="10" width="14.42578125" style="6" customWidth="1"/>
    <col min="11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8" t="s">
        <v>62</v>
      </c>
      <c r="J3" s="17">
        <v>231</v>
      </c>
    </row>
    <row r="4" spans="1:10">
      <c r="C4" s="13" t="s">
        <v>0</v>
      </c>
      <c r="D4" s="25" t="s">
        <v>14</v>
      </c>
      <c r="E4" s="25"/>
      <c r="H4" s="17" t="s">
        <v>21</v>
      </c>
      <c r="I4" s="38" t="s">
        <v>63</v>
      </c>
      <c r="J4" s="3">
        <v>231</v>
      </c>
    </row>
    <row r="5" spans="1:10">
      <c r="C5" s="13" t="s">
        <v>9</v>
      </c>
      <c r="D5" s="26" t="s">
        <v>13</v>
      </c>
      <c r="E5" s="27"/>
      <c r="H5" s="17" t="s">
        <v>22</v>
      </c>
      <c r="I5" s="38" t="s">
        <v>64</v>
      </c>
      <c r="J5" s="3">
        <v>231</v>
      </c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1" customHeight="1">
      <c r="B10" s="3">
        <v>1</v>
      </c>
      <c r="C10" s="36" t="s">
        <v>32</v>
      </c>
      <c r="D10" s="36" t="s">
        <v>33</v>
      </c>
      <c r="E10" s="37" t="s">
        <v>61</v>
      </c>
    </row>
    <row r="11" spans="1:10">
      <c r="B11" s="3">
        <f>B10+1</f>
        <v>2</v>
      </c>
      <c r="C11" s="36" t="s">
        <v>34</v>
      </c>
      <c r="D11" s="36" t="s">
        <v>35</v>
      </c>
      <c r="E11" s="36" t="s">
        <v>36</v>
      </c>
    </row>
    <row r="12" spans="1:10">
      <c r="B12" s="3">
        <f>B11+1</f>
        <v>3</v>
      </c>
      <c r="C12" s="36" t="s">
        <v>37</v>
      </c>
      <c r="D12" s="36" t="s">
        <v>38</v>
      </c>
      <c r="E12" s="36" t="s">
        <v>39</v>
      </c>
    </row>
    <row r="13" spans="1:10">
      <c r="B13" s="3">
        <f>B12+1</f>
        <v>4</v>
      </c>
      <c r="C13" s="36" t="s">
        <v>40</v>
      </c>
      <c r="D13" s="36" t="s">
        <v>41</v>
      </c>
      <c r="E13" s="36" t="s">
        <v>42</v>
      </c>
    </row>
    <row r="14" spans="1:10">
      <c r="B14" s="3"/>
      <c r="C14" s="36"/>
      <c r="D14" s="36"/>
      <c r="E14" s="36"/>
    </row>
    <row r="15" spans="1:10">
      <c r="B15" s="3"/>
      <c r="C15" s="36"/>
      <c r="D15" s="36"/>
      <c r="E15" s="36"/>
    </row>
    <row r="16" spans="1:10">
      <c r="B16" s="3"/>
      <c r="C16" s="36"/>
      <c r="D16" s="36"/>
      <c r="E16" s="36"/>
    </row>
    <row r="17" spans="2:5">
      <c r="B17" s="3"/>
      <c r="C17" s="36"/>
      <c r="D17" s="36"/>
      <c r="E17" s="36"/>
    </row>
    <row r="18" spans="2:5">
      <c r="B18" s="3"/>
      <c r="C18" s="36"/>
      <c r="D18" s="36"/>
      <c r="E18" s="36"/>
    </row>
    <row r="19" spans="2:5">
      <c r="B19" s="3"/>
      <c r="C19" s="36"/>
      <c r="D19" s="36"/>
      <c r="E19" s="36"/>
    </row>
    <row r="20" spans="2:5">
      <c r="B20" s="3">
        <f>B19+1</f>
        <v>1</v>
      </c>
      <c r="C20" s="3"/>
      <c r="D20" s="3"/>
      <c r="E20" s="15"/>
    </row>
    <row r="21" spans="2:5">
      <c r="B21" s="3">
        <f>B20+1</f>
        <v>2</v>
      </c>
      <c r="C21" s="3"/>
      <c r="D21" s="3"/>
      <c r="E21" s="15"/>
    </row>
    <row r="22" spans="2:5">
      <c r="B22" s="3">
        <f>B21+1</f>
        <v>3</v>
      </c>
      <c r="C22" s="3"/>
      <c r="D22" s="3"/>
      <c r="E22" s="15"/>
    </row>
    <row r="23" spans="2:5">
      <c r="B23" s="3">
        <f>B22+1</f>
        <v>4</v>
      </c>
      <c r="C23" s="3"/>
      <c r="D23" s="3"/>
      <c r="E23" s="15"/>
    </row>
    <row r="24" spans="2:5">
      <c r="B24" s="3">
        <f>B23+1</f>
        <v>5</v>
      </c>
      <c r="C24" s="3"/>
      <c r="D24" s="3"/>
      <c r="E24" s="15"/>
    </row>
    <row r="25" spans="2:5">
      <c r="B25" s="3">
        <f>B24+1</f>
        <v>6</v>
      </c>
      <c r="C25" s="3"/>
      <c r="D25" s="3"/>
      <c r="E25" s="15"/>
    </row>
    <row r="27" spans="2:5">
      <c r="C27" s="11" t="s">
        <v>8</v>
      </c>
      <c r="D27" s="6">
        <v>1</v>
      </c>
      <c r="E27" s="1"/>
    </row>
    <row r="28" spans="2:5">
      <c r="D28" s="12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E28" sqref="E28"/>
    </sheetView>
  </sheetViews>
  <sheetFormatPr defaultColWidth="8.85546875" defaultRowHeight="15"/>
  <cols>
    <col min="1" max="1" width="8.85546875" style="6"/>
    <col min="2" max="2" width="12.28515625" style="6" customWidth="1"/>
    <col min="3" max="4" width="16.28515625" style="6" customWidth="1"/>
    <col min="5" max="5" width="41.42578125" style="6" customWidth="1"/>
    <col min="6" max="8" width="8.85546875" style="6"/>
    <col min="9" max="9" width="22.14062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8" t="s">
        <v>62</v>
      </c>
      <c r="J3" s="17">
        <v>231</v>
      </c>
    </row>
    <row r="4" spans="1:10">
      <c r="C4" s="7" t="s">
        <v>0</v>
      </c>
      <c r="D4" s="28" t="s">
        <v>15</v>
      </c>
      <c r="E4" s="28"/>
      <c r="H4" s="17" t="s">
        <v>21</v>
      </c>
      <c r="I4" s="38" t="s">
        <v>63</v>
      </c>
      <c r="J4" s="3">
        <v>231</v>
      </c>
    </row>
    <row r="5" spans="1:10">
      <c r="C5" s="7" t="s">
        <v>10</v>
      </c>
      <c r="D5" s="29" t="s">
        <v>12</v>
      </c>
      <c r="E5" s="30"/>
      <c r="H5" s="17" t="s">
        <v>22</v>
      </c>
      <c r="I5" s="38" t="s">
        <v>64</v>
      </c>
      <c r="J5" s="3">
        <v>231</v>
      </c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36" t="s">
        <v>43</v>
      </c>
      <c r="D10" s="36" t="s">
        <v>44</v>
      </c>
      <c r="E10" s="36" t="s">
        <v>45</v>
      </c>
    </row>
    <row r="11" spans="1:10">
      <c r="B11" s="3">
        <v>2</v>
      </c>
      <c r="C11" s="36" t="s">
        <v>46</v>
      </c>
      <c r="D11" s="36" t="s">
        <v>47</v>
      </c>
      <c r="E11" s="36" t="s">
        <v>48</v>
      </c>
    </row>
    <row r="12" spans="1:10">
      <c r="B12" s="3">
        <v>3</v>
      </c>
      <c r="C12" s="36" t="s">
        <v>49</v>
      </c>
      <c r="D12" s="36" t="s">
        <v>50</v>
      </c>
      <c r="E12" s="36" t="s">
        <v>51</v>
      </c>
    </row>
    <row r="13" spans="1:10">
      <c r="B13" s="3">
        <f>B12+1</f>
        <v>4</v>
      </c>
      <c r="C13" s="1"/>
      <c r="D13" s="1"/>
      <c r="E13" s="2"/>
    </row>
    <row r="14" spans="1:10">
      <c r="B14" s="3">
        <f t="shared" ref="B12:B26" si="0">B13+1</f>
        <v>5</v>
      </c>
      <c r="C14" s="1"/>
      <c r="D14" s="2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>
        <v>1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E32" sqref="E32"/>
    </sheetView>
  </sheetViews>
  <sheetFormatPr defaultColWidth="8.85546875" defaultRowHeight="15"/>
  <cols>
    <col min="1" max="1" width="8.85546875" style="6"/>
    <col min="2" max="2" width="12.28515625" style="6" customWidth="1"/>
    <col min="3" max="3" width="16.28515625" style="6" customWidth="1"/>
    <col min="4" max="4" width="18" style="6" customWidth="1"/>
    <col min="5" max="5" width="41.42578125" style="6" customWidth="1"/>
    <col min="6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8" t="s">
        <v>62</v>
      </c>
      <c r="J3" s="17">
        <v>231</v>
      </c>
    </row>
    <row r="4" spans="1:10">
      <c r="C4" s="16" t="s">
        <v>0</v>
      </c>
      <c r="D4" s="31" t="s">
        <v>16</v>
      </c>
      <c r="E4" s="31"/>
      <c r="H4" s="17" t="s">
        <v>21</v>
      </c>
      <c r="I4" s="38" t="s">
        <v>63</v>
      </c>
      <c r="J4" s="3">
        <v>231</v>
      </c>
    </row>
    <row r="5" spans="1:10">
      <c r="C5" s="16" t="s">
        <v>9</v>
      </c>
      <c r="D5" s="32" t="s">
        <v>11</v>
      </c>
      <c r="E5" s="33"/>
      <c r="H5" s="17" t="s">
        <v>22</v>
      </c>
      <c r="I5" s="38" t="s">
        <v>64</v>
      </c>
      <c r="J5" s="3">
        <v>231</v>
      </c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36" t="s">
        <v>52</v>
      </c>
      <c r="D10" s="36" t="s">
        <v>53</v>
      </c>
      <c r="E10" s="36" t="s">
        <v>54</v>
      </c>
    </row>
    <row r="11" spans="1:10">
      <c r="B11" s="3">
        <v>2</v>
      </c>
      <c r="C11" s="36" t="s">
        <v>55</v>
      </c>
      <c r="D11" s="36" t="s">
        <v>56</v>
      </c>
      <c r="E11" s="36" t="s">
        <v>57</v>
      </c>
    </row>
    <row r="12" spans="1:10">
      <c r="B12" s="3">
        <v>3</v>
      </c>
      <c r="C12" s="36" t="s">
        <v>58</v>
      </c>
      <c r="D12" s="36" t="s">
        <v>59</v>
      </c>
      <c r="E12" s="36" t="s">
        <v>60</v>
      </c>
    </row>
    <row r="13" spans="1:10">
      <c r="B13" s="3">
        <f t="shared" ref="B12:B30" si="0">B12+1</f>
        <v>4</v>
      </c>
      <c r="C13" s="1"/>
      <c r="D13" s="2"/>
      <c r="E13" s="2"/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F10" sqref="F10"/>
    </sheetView>
  </sheetViews>
  <sheetFormatPr defaultColWidth="8.85546875" defaultRowHeight="15"/>
  <cols>
    <col min="1" max="1" width="8.85546875" style="6"/>
    <col min="2" max="2" width="12.28515625" style="6" customWidth="1"/>
    <col min="3" max="3" width="16.28515625" style="6" customWidth="1"/>
    <col min="4" max="4" width="18" style="6" customWidth="1"/>
    <col min="5" max="5" width="23.85546875" style="6" customWidth="1"/>
    <col min="6" max="6" width="16.5703125" style="6" customWidth="1"/>
    <col min="7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8" t="s">
        <v>62</v>
      </c>
      <c r="J3" s="17">
        <v>231</v>
      </c>
    </row>
    <row r="4" spans="1:10">
      <c r="C4" s="16" t="s">
        <v>25</v>
      </c>
      <c r="D4" s="31" t="s">
        <v>84</v>
      </c>
      <c r="E4" s="31"/>
      <c r="H4" s="17" t="s">
        <v>21</v>
      </c>
      <c r="I4" s="38" t="s">
        <v>63</v>
      </c>
      <c r="J4" s="3">
        <v>231</v>
      </c>
    </row>
    <row r="5" spans="1:10">
      <c r="C5" s="9" t="s">
        <v>2</v>
      </c>
      <c r="D5" s="22"/>
      <c r="E5" s="22"/>
      <c r="H5" s="17" t="s">
        <v>22</v>
      </c>
      <c r="I5" s="38" t="s">
        <v>64</v>
      </c>
      <c r="J5" s="3">
        <v>231</v>
      </c>
    </row>
    <row r="6" spans="1:10">
      <c r="B6" s="8"/>
      <c r="C6" s="9" t="s">
        <v>1</v>
      </c>
      <c r="D6" s="22"/>
      <c r="E6" s="22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60">
      <c r="B10" s="3">
        <v>1</v>
      </c>
      <c r="C10" s="1" t="s">
        <v>72</v>
      </c>
      <c r="D10" s="39" t="s">
        <v>65</v>
      </c>
      <c r="E10" s="2" t="s">
        <v>66</v>
      </c>
      <c r="F10" s="2" t="s">
        <v>67</v>
      </c>
    </row>
    <row r="11" spans="1:10" ht="90">
      <c r="B11" s="3">
        <f>B10+1</f>
        <v>2</v>
      </c>
      <c r="C11" s="1" t="s">
        <v>73</v>
      </c>
      <c r="D11" s="1" t="s">
        <v>69</v>
      </c>
      <c r="E11" s="40" t="s">
        <v>68</v>
      </c>
      <c r="F11" s="2" t="s">
        <v>70</v>
      </c>
    </row>
    <row r="12" spans="1:10" ht="135">
      <c r="B12" s="3">
        <f t="shared" ref="B12:B30" si="0">B11+1</f>
        <v>3</v>
      </c>
      <c r="C12" s="1" t="s">
        <v>74</v>
      </c>
      <c r="D12" s="39" t="s">
        <v>71</v>
      </c>
      <c r="E12" s="2" t="s">
        <v>75</v>
      </c>
      <c r="F12" s="2"/>
    </row>
    <row r="13" spans="1:10" ht="105">
      <c r="B13" s="3">
        <f t="shared" si="0"/>
        <v>4</v>
      </c>
      <c r="C13" s="1" t="s">
        <v>76</v>
      </c>
      <c r="D13" s="39" t="s">
        <v>71</v>
      </c>
      <c r="E13" s="2" t="s">
        <v>77</v>
      </c>
      <c r="F13" s="2"/>
    </row>
    <row r="14" spans="1:10">
      <c r="B14" s="3">
        <f t="shared" si="0"/>
        <v>5</v>
      </c>
      <c r="C14" s="1" t="s">
        <v>78</v>
      </c>
      <c r="D14" s="39" t="s">
        <v>79</v>
      </c>
      <c r="E14" s="41" t="s">
        <v>80</v>
      </c>
      <c r="F14" s="2"/>
    </row>
    <row r="15" spans="1:10" ht="45">
      <c r="B15" s="3">
        <f t="shared" si="0"/>
        <v>6</v>
      </c>
      <c r="C15" s="1" t="s">
        <v>82</v>
      </c>
      <c r="D15" s="2" t="s">
        <v>81</v>
      </c>
      <c r="E15" s="2" t="s">
        <v>83</v>
      </c>
      <c r="F15" s="2"/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4" t="s">
        <v>85</v>
      </c>
      <c r="D32" s="35"/>
      <c r="E32" s="35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DAVID-CRISTIAN BLĂJAN</cp:lastModifiedBy>
  <dcterms:created xsi:type="dcterms:W3CDTF">2015-02-21T15:59:19Z</dcterms:created>
  <dcterms:modified xsi:type="dcterms:W3CDTF">2026-03-09T21:01:59Z</dcterms:modified>
</cp:coreProperties>
</file>