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faculty\sem6\VVSS\MyDrinkShop\docs\Lab03\"/>
    </mc:Choice>
  </mc:AlternateContent>
  <xr:revisionPtr revIDLastSave="0" documentId="13_ncr:1_{F40CFDC8-6AEF-4A7E-BFA7-905830DEFFBD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Statement" sheetId="1" r:id="rId1"/>
    <sheet name="F02.CFG-Paths" sheetId="2" r:id="rId2"/>
    <sheet name="F02.TCs" sheetId="5" r:id="rId3"/>
    <sheet name="WBT-TC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6" i="4" l="1"/>
  <c r="I16" i="4"/>
</calcChain>
</file>

<file path=xl/sharedStrings.xml><?xml version="1.0" encoding="utf-8"?>
<sst xmlns="http://schemas.openxmlformats.org/spreadsheetml/2006/main" count="234" uniqueCount="162">
  <si>
    <t>VVSS, Info Romana, 2025-2026</t>
  </si>
  <si>
    <t>WBT Implemented / planned TCs - filterByTip</t>
  </si>
  <si>
    <t>Final        TC No.</t>
  </si>
  <si>
    <t>Req. ID</t>
  </si>
  <si>
    <t>TC No</t>
  </si>
  <si>
    <t>input data</t>
  </si>
  <si>
    <t>output data</t>
  </si>
  <si>
    <t>…</t>
  </si>
  <si>
    <t>expected</t>
  </si>
  <si>
    <t>actual result</t>
  </si>
  <si>
    <t>1</t>
  </si>
  <si>
    <t>F02</t>
  </si>
  <si>
    <t>F02_TC01</t>
  </si>
  <si>
    <t>products = null</t>
  </si>
  <si>
    <t>tip = TIP_A</t>
  </si>
  <si>
    <t>non-valid</t>
  </si>
  <si>
    <t>SC+DC</t>
  </si>
  <si>
    <t>P01</t>
  </si>
  <si>
    <t>return []</t>
  </si>
  <si>
    <t>neexecutat</t>
  </si>
  <si>
    <t>2</t>
  </si>
  <si>
    <t>F02_TC04</t>
  </si>
  <si>
    <t>[P1(TIP_A), P2(TIP_B)]</t>
  </si>
  <si>
    <t>tip = null</t>
  </si>
  <si>
    <t>DC+LC</t>
  </si>
  <si>
    <t>P03</t>
  </si>
  <si>
    <t>3</t>
  </si>
  <si>
    <t>F02_TC05</t>
  </si>
  <si>
    <t>[P1(TIP_A)]</t>
  </si>
  <si>
    <t>tip = ALL</t>
  </si>
  <si>
    <t>valid</t>
  </si>
  <si>
    <t>P04</t>
  </si>
  <si>
    <t>return [P1]</t>
  </si>
  <si>
    <t>4</t>
  </si>
  <si>
    <t>F02_TC06</t>
  </si>
  <si>
    <t>CC+DCC</t>
  </si>
  <si>
    <t>P05</t>
  </si>
  <si>
    <t>5</t>
  </si>
  <si>
    <t>F02_TC07</t>
  </si>
  <si>
    <t>[P1(TIP_B)]</t>
  </si>
  <si>
    <t>P06</t>
  </si>
  <si>
    <t>Statistics</t>
  </si>
  <si>
    <t>Testare</t>
  </si>
  <si>
    <t>Depanare</t>
  </si>
  <si>
    <t>Re-testare</t>
  </si>
  <si>
    <t>Testare de regresie</t>
  </si>
  <si>
    <t>#TCs run</t>
  </si>
  <si>
    <t>#TCs passed</t>
  </si>
  <si>
    <t>#TCs falied</t>
  </si>
  <si>
    <t>Coverage (%)[se va prelua valoarea indicata in raportul de acoperire pentru metoda testata]</t>
  </si>
  <si>
    <t>#Bugs [se va indica numarul de bug-uri identificate prin depanare, la nivelul metodei testate]</t>
  </si>
  <si>
    <t>#Bugs Fixed [se va completa cu 'da' dupa depanare]</t>
  </si>
  <si>
    <t>Re-testare [se va completa cu 'da' dupa retestare]</t>
  </si>
  <si>
    <t>#TCs  failed</t>
  </si>
  <si>
    <t>Coverage (%) [se va prelua valoarea indicata in raportul de acoperire pentru metoda testata]</t>
  </si>
  <si>
    <t>Testare de regresie [se va completa cu 'da' dupa testarea de regresie]</t>
  </si>
  <si>
    <t>#TCs passed [de executat in testarea de regresie]</t>
  </si>
  <si>
    <t>0</t>
  </si>
  <si>
    <t>nu</t>
  </si>
  <si>
    <t>Criteriile de acoperire la nivelul codului sursa sunt exemplificate pentru problema de mai jos. Studentii vor aplica aceeasi modalitate de lucru pentru proiectul primit in Lab01.</t>
  </si>
  <si>
    <t>[Unit WBT]</t>
  </si>
  <si>
    <t xml:space="preserve">Lab03. White-box Testing. Code Coverage </t>
  </si>
  <si>
    <t>Proiectaţi şi implementaţi o aplicaţie Java pentru rezolvarea problemei propuse. Se va evidenţia o arhitectură stratificată.</t>
  </si>
  <si>
    <t>Echipa</t>
  </si>
  <si>
    <t>Informaţiile vor fi preluate din fişiere text.</t>
  </si>
  <si>
    <t>Numele si prenumele</t>
  </si>
  <si>
    <t>Grupa</t>
  </si>
  <si>
    <t>Student 1:</t>
  </si>
  <si>
    <t>Student 2:</t>
  </si>
  <si>
    <t>Student 3:</t>
  </si>
  <si>
    <t>F02. filtrarea produselor după tipul băuturii (metoda filterByTip).</t>
  </si>
  <si>
    <t>F02. Covered source code - filterByTip(TipBautura tip)</t>
  </si>
  <si>
    <t>F02. Control Flow Graph (CFG)</t>
  </si>
  <si>
    <t>F02. Cyclomatic Complexity (CC)</t>
  </si>
  <si>
    <t>Line No.</t>
  </si>
  <si>
    <t>Source code</t>
  </si>
  <si>
    <t>CFG inserat ca imagine în zona I9:O24.</t>
  </si>
  <si>
    <t>CC1 = No. of regions =</t>
  </si>
  <si>
    <t>CC2 = Edges - Nodes + 2 =</t>
  </si>
  <si>
    <t>CC3 = No. of predicate nodes + 1 =</t>
  </si>
  <si>
    <t>F02. Individual Paths</t>
  </si>
  <si>
    <t>Path No.</t>
  </si>
  <si>
    <t>Path</t>
  </si>
  <si>
    <t>F02_P01</t>
  </si>
  <si>
    <t>F02_P02</t>
  </si>
  <si>
    <t>F02_P03</t>
  </si>
  <si>
    <t>F02_P04</t>
  </si>
  <si>
    <t>F02_P05</t>
  </si>
  <si>
    <t>TC No.</t>
  </si>
  <si>
    <t>Input</t>
  </si>
  <si>
    <t>Output</t>
  </si>
  <si>
    <t>Coverage</t>
  </si>
  <si>
    <t>Statement (sc)</t>
  </si>
  <si>
    <t>Path (apc)</t>
  </si>
  <si>
    <t>Loop (lc)</t>
  </si>
  <si>
    <t>n-1</t>
  </si>
  <si>
    <t>n</t>
  </si>
  <si>
    <t>n+1</t>
  </si>
  <si>
    <t>m&lt;n</t>
  </si>
  <si>
    <t>T</t>
  </si>
  <si>
    <t>F</t>
  </si>
  <si>
    <t>X</t>
  </si>
  <si>
    <t>F02_TC02</t>
  </si>
  <si>
    <t>F02_TC03</t>
  </si>
  <si>
    <t>L01</t>
  </si>
  <si>
    <t>L02</t>
  </si>
  <si>
    <t>L03</t>
  </si>
  <si>
    <t>L04</t>
  </si>
  <si>
    <t>L05</t>
  </si>
  <si>
    <t>L06</t>
  </si>
  <si>
    <t>L07</t>
  </si>
  <si>
    <t>L09</t>
  </si>
  <si>
    <t>L10</t>
  </si>
  <si>
    <t>if (!areSuficient(reteta)) {</t>
  </si>
  <si>
    <t>throw new IllegalStateException("Stoc insuficient pentru rețeta.");}</t>
  </si>
  <si>
    <t>for (IngredientReteta e : reteta.getIngrediente()) {</t>
  </si>
  <si>
    <t>String ingredient = e.getDenumire();</t>
  </si>
  <si>
    <t>double necesar = e.getCantitate();</t>
  </si>
  <si>
    <t>List&lt;Stoc&gt; ingredienteStoc = stocRepo.findAll().stream()
                    .filter(s -&gt; s.getIngredient().equalsIgnoreCase(ingredient))
                    .toList();</t>
  </si>
  <si>
    <t>double ramas = necesar;</t>
  </si>
  <si>
    <t>for (Stoc s : ingredienteStoc) {</t>
  </si>
  <si>
    <t>if (ramas &lt;= 0) break;</t>
  </si>
  <si>
    <t>double deScazut = Math.min(s.getCantitate(), ramas);</t>
  </si>
  <si>
    <t>L11</t>
  </si>
  <si>
    <t>L12</t>
  </si>
  <si>
    <t>s.setCantitate(s.getCantitate() - deScazut);</t>
  </si>
  <si>
    <t>ramas -= deScazut;</t>
  </si>
  <si>
    <t>L13</t>
  </si>
  <si>
    <t>stocRepo.update(s);</t>
  </si>
  <si>
    <t>L00</t>
  </si>
  <si>
    <t>public void consuma(Reteta reteta) {</t>
  </si>
  <si>
    <t>17 - 14 + 2 = 5</t>
  </si>
  <si>
    <t>4 + 1 = 5</t>
  </si>
  <si>
    <t>L0 - L1(True) - L2 - END</t>
  </si>
  <si>
    <t>L0 - L1(False) - L3(False) - END</t>
  </si>
  <si>
    <t>L0 - L1(False) - L3(True) - L4 - L5 - L6 - L7 - L8(False) - END</t>
  </si>
  <si>
    <t>L0 - L1(False) - L3(True) - L4 - L5 - L6 - L7 - L8(True) - L9(True) - END</t>
  </si>
  <si>
    <t>L0 - L1(False) - L3(True) - L4 - L5 - L6 - L7 - L8(True) - L9(False) - L10 - L11 - L12 - L13 - END</t>
  </si>
  <si>
    <t>Bucur Victor-Sever</t>
  </si>
  <si>
    <t>Blajan David</t>
  </si>
  <si>
    <t>Birsan Raul</t>
  </si>
  <si>
    <r>
      <rPr>
        <b/>
        <sz val="11"/>
        <color indexed="8"/>
        <rFont val="Calibri"/>
        <family val="2"/>
      </rPr>
      <t xml:space="preserve">F02. </t>
    </r>
    <r>
      <rPr>
        <sz val="11"/>
        <color indexed="8"/>
        <rFont val="Calibri"/>
        <family val="2"/>
      </rPr>
      <t>cautarea filmelor care au un anumit regizor (sau parti din numele regizorului).</t>
    </r>
  </si>
  <si>
    <t>Condition/ decision (dc, cc, dcc, mcc)</t>
  </si>
  <si>
    <t>!areSuficient(reteta)</t>
  </si>
  <si>
    <t>exista ingredient in reteta</t>
  </si>
  <si>
    <t>exista element in ingredienteStoc</t>
  </si>
  <si>
    <t>ramas &lt;= 0</t>
  </si>
  <si>
    <t>F02_Pnn</t>
  </si>
  <si>
    <t>N1, N2</t>
  </si>
  <si>
    <t>N1, N3, N8</t>
  </si>
  <si>
    <t>N1, N3, N4, N5, N6, N7</t>
  </si>
  <si>
    <t>N1, N3, N4, N5, N6, N7, N5, N6, N7, N5, N6</t>
  </si>
  <si>
    <t>N0 - N1(False) - N3(True) - N4 - N5(False) - END</t>
  </si>
  <si>
    <t>N0 - N1(False) - N3(True) - N4 - N5(True) - N6(True) - END</t>
  </si>
  <si>
    <t>N0 - N1(False) - N3(True) - N4 - N5(True) - N6(False) - N7 - END</t>
  </si>
  <si>
    <t>exceptie</t>
  </si>
  <si>
    <t>reteta nu are suficient</t>
  </si>
  <si>
    <t>terminare nromala</t>
  </si>
  <si>
    <t>reteta fara ingrediente, stoc suficient</t>
  </si>
  <si>
    <t>1 ingredeint, 1 stoc</t>
  </si>
  <si>
    <t>1 ingredient, 2 loturi</t>
  </si>
  <si>
    <t>1 ingredient, 0 stoc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</si>
</sst>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rgb="FFFF0000"/>
      <name val="Calibri"/>
      <family val="2"/>
      <scheme val="minor"/>
    </font>
    <font>
      <b/>
      <i/>
      <sz val="9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11"/>
      <color indexed="8"/>
      <name val="Calibri"/>
      <family val="2"/>
    </font>
    <font>
      <sz val="12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4" fillId="0" borderId="3" xfId="0" applyFont="1" applyBorder="1"/>
    <xf numFmtId="0" fontId="5" fillId="2" borderId="4" xfId="0" applyFont="1" applyFill="1" applyBorder="1" applyAlignment="1">
      <alignment horizontal="center"/>
    </xf>
    <xf numFmtId="0" fontId="6" fillId="2" borderId="4" xfId="0" applyFont="1" applyFill="1" applyBorder="1"/>
    <xf numFmtId="0" fontId="5" fillId="2" borderId="5" xfId="0" applyFont="1" applyFill="1" applyBorder="1"/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7" fillId="0" borderId="0" xfId="0" applyFont="1"/>
    <xf numFmtId="0" fontId="8" fillId="3" borderId="8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vertical="center" wrapText="1"/>
    </xf>
    <xf numFmtId="0" fontId="9" fillId="4" borderId="8" xfId="0" applyFont="1" applyFill="1" applyBorder="1" applyAlignment="1">
      <alignment vertical="center" wrapText="1"/>
    </xf>
    <xf numFmtId="0" fontId="9" fillId="3" borderId="8" xfId="0" applyFont="1" applyFill="1" applyBorder="1" applyAlignment="1">
      <alignment horizontal="center" vertical="center" wrapText="1"/>
    </xf>
    <xf numFmtId="0" fontId="9" fillId="5" borderId="8" xfId="0" applyFont="1" applyFill="1" applyBorder="1" applyAlignment="1">
      <alignment horizontal="center" vertical="center" wrapText="1"/>
    </xf>
    <xf numFmtId="0" fontId="9" fillId="6" borderId="8" xfId="0" applyFont="1" applyFill="1" applyBorder="1" applyAlignment="1">
      <alignment vertical="center" wrapText="1"/>
    </xf>
    <xf numFmtId="0" fontId="2" fillId="0" borderId="8" xfId="0" applyFont="1" applyBorder="1" applyAlignment="1">
      <alignment horizontal="center" vertical="center"/>
    </xf>
    <xf numFmtId="0" fontId="3" fillId="0" borderId="0" xfId="0" applyFont="1"/>
    <xf numFmtId="0" fontId="0" fillId="2" borderId="8" xfId="0" applyFill="1" applyBorder="1"/>
    <xf numFmtId="0" fontId="0" fillId="7" borderId="8" xfId="0" applyFill="1" applyBorder="1"/>
    <xf numFmtId="0" fontId="0" fillId="2" borderId="10" xfId="0" applyFill="1" applyBorder="1"/>
    <xf numFmtId="0" fontId="0" fillId="0" borderId="8" xfId="0" applyBorder="1"/>
    <xf numFmtId="0" fontId="0" fillId="2" borderId="11" xfId="0" applyFill="1" applyBorder="1"/>
    <xf numFmtId="0" fontId="0" fillId="7" borderId="10" xfId="0" applyFill="1" applyBorder="1"/>
    <xf numFmtId="0" fontId="0" fillId="2" borderId="12" xfId="0" applyFill="1" applyBorder="1"/>
    <xf numFmtId="0" fontId="2" fillId="8" borderId="0" xfId="0" applyFont="1" applyFill="1" applyAlignment="1">
      <alignment horizontal="center"/>
    </xf>
    <xf numFmtId="0" fontId="2" fillId="9" borderId="8" xfId="0" applyFont="1" applyFill="1" applyBorder="1" applyAlignment="1">
      <alignment horizontal="center"/>
    </xf>
    <xf numFmtId="0" fontId="2" fillId="9" borderId="0" xfId="0" applyFont="1" applyFill="1" applyAlignment="1">
      <alignment horizontal="center"/>
    </xf>
    <xf numFmtId="0" fontId="0" fillId="0" borderId="8" xfId="0" applyBorder="1" applyAlignment="1">
      <alignment horizontal="right"/>
    </xf>
    <xf numFmtId="0" fontId="0" fillId="0" borderId="8" xfId="0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/>
    <xf numFmtId="0" fontId="11" fillId="0" borderId="0" xfId="0" applyFont="1"/>
    <xf numFmtId="0" fontId="12" fillId="0" borderId="0" xfId="0" applyFont="1"/>
    <xf numFmtId="0" fontId="2" fillId="12" borderId="26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2" fillId="0" borderId="8" xfId="0" applyFont="1" applyBorder="1" applyAlignment="1">
      <alignment horizontal="left" vertical="center"/>
    </xf>
    <xf numFmtId="0" fontId="0" fillId="0" borderId="13" xfId="0" applyBorder="1"/>
    <xf numFmtId="0" fontId="0" fillId="0" borderId="7" xfId="0" applyBorder="1"/>
    <xf numFmtId="0" fontId="0" fillId="0" borderId="8" xfId="0" applyBorder="1" applyAlignment="1">
      <alignment vertical="center" wrapText="1"/>
    </xf>
    <xf numFmtId="0" fontId="2" fillId="0" borderId="9" xfId="0" applyFont="1" applyBorder="1" applyAlignment="1">
      <alignment vertical="center" wrapText="1"/>
    </xf>
    <xf numFmtId="0" fontId="2" fillId="0" borderId="8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9" fillId="0" borderId="8" xfId="0" applyFont="1" applyBorder="1" applyAlignment="1">
      <alignment horizontal="left" vertical="center" wrapText="1"/>
    </xf>
    <xf numFmtId="0" fontId="0" fillId="9" borderId="8" xfId="0" applyFill="1" applyBorder="1" applyAlignment="1">
      <alignment horizontal="center"/>
    </xf>
    <xf numFmtId="0" fontId="2" fillId="0" borderId="10" xfId="0" applyFont="1" applyBorder="1" applyAlignment="1">
      <alignment horizontal="center" vertical="center" wrapText="1"/>
    </xf>
    <xf numFmtId="0" fontId="0" fillId="0" borderId="19" xfId="0" applyBorder="1"/>
    <xf numFmtId="0" fontId="2" fillId="0" borderId="8" xfId="0" applyFont="1" applyBorder="1" applyAlignment="1">
      <alignment vertical="center" wrapText="1"/>
    </xf>
    <xf numFmtId="0" fontId="0" fillId="0" borderId="7" xfId="0" applyBorder="1"/>
    <xf numFmtId="0" fontId="2" fillId="0" borderId="35" xfId="0" applyFont="1" applyBorder="1" applyAlignment="1">
      <alignment horizontal="center" vertical="center"/>
    </xf>
    <xf numFmtId="0" fontId="0" fillId="0" borderId="27" xfId="0" applyBorder="1"/>
    <xf numFmtId="0" fontId="2" fillId="8" borderId="8" xfId="0" applyFont="1" applyFill="1" applyBorder="1" applyAlignment="1">
      <alignment horizontal="center"/>
    </xf>
    <xf numFmtId="0" fontId="0" fillId="0" borderId="13" xfId="0" applyBorder="1"/>
    <xf numFmtId="0" fontId="2" fillId="0" borderId="5" xfId="0" applyFont="1" applyBorder="1" applyAlignment="1">
      <alignment horizontal="center" vertical="center" wrapText="1"/>
    </xf>
    <xf numFmtId="0" fontId="0" fillId="0" borderId="30" xfId="0" applyBorder="1"/>
    <xf numFmtId="0" fontId="2" fillId="10" borderId="33" xfId="0" applyFont="1" applyFill="1" applyBorder="1" applyAlignment="1">
      <alignment horizontal="center" vertical="center"/>
    </xf>
    <xf numFmtId="0" fontId="0" fillId="0" borderId="21" xfId="0" applyBorder="1"/>
    <xf numFmtId="0" fontId="2" fillId="0" borderId="9" xfId="0" applyFont="1" applyBorder="1" applyAlignment="1">
      <alignment horizontal="center" vertical="center" wrapText="1"/>
    </xf>
    <xf numFmtId="0" fontId="0" fillId="0" borderId="9" xfId="0" applyBorder="1"/>
    <xf numFmtId="0" fontId="2" fillId="0" borderId="18" xfId="0" applyFont="1" applyBorder="1" applyAlignment="1">
      <alignment horizontal="center" vertical="center" wrapText="1"/>
    </xf>
    <xf numFmtId="0" fontId="0" fillId="0" borderId="18" xfId="0" applyBorder="1"/>
    <xf numFmtId="0" fontId="2" fillId="0" borderId="4" xfId="0" applyFont="1" applyBorder="1" applyAlignment="1">
      <alignment horizontal="center" vertical="center" wrapText="1"/>
    </xf>
    <xf numFmtId="0" fontId="0" fillId="0" borderId="20" xfId="0" applyBorder="1"/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2" fillId="8" borderId="21" xfId="0" applyFont="1" applyFill="1" applyBorder="1" applyAlignment="1">
      <alignment horizontal="center" vertical="center"/>
    </xf>
    <xf numFmtId="0" fontId="2" fillId="11" borderId="31" xfId="0" applyFont="1" applyFill="1" applyBorder="1" applyAlignment="1">
      <alignment horizontal="center" vertical="center"/>
    </xf>
    <xf numFmtId="0" fontId="0" fillId="0" borderId="23" xfId="0" applyBorder="1"/>
    <xf numFmtId="0" fontId="0" fillId="0" borderId="24" xfId="0" applyBorder="1"/>
    <xf numFmtId="0" fontId="2" fillId="0" borderId="19" xfId="0" applyFont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2" fillId="0" borderId="9" xfId="0" applyFont="1" applyBorder="1" applyAlignment="1">
      <alignment vertical="center" wrapText="1"/>
    </xf>
    <xf numFmtId="0" fontId="0" fillId="0" borderId="2" xfId="0" applyBorder="1"/>
    <xf numFmtId="0" fontId="2" fillId="0" borderId="34" xfId="0" applyFont="1" applyBorder="1" applyAlignment="1">
      <alignment horizontal="center" vertical="center" wrapText="1"/>
    </xf>
    <xf numFmtId="0" fontId="0" fillId="0" borderId="26" xfId="0" applyBorder="1"/>
    <xf numFmtId="0" fontId="2" fillId="11" borderId="8" xfId="0" applyFont="1" applyFill="1" applyBorder="1" applyAlignment="1">
      <alignment horizontal="center"/>
    </xf>
    <xf numFmtId="0" fontId="2" fillId="0" borderId="8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 wrapText="1"/>
    </xf>
    <xf numFmtId="0" fontId="2" fillId="7" borderId="32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25" xfId="0" applyBorder="1"/>
    <xf numFmtId="0" fontId="2" fillId="0" borderId="1" xfId="0" applyFont="1" applyBorder="1" applyAlignment="1">
      <alignment vertical="center" wrapText="1"/>
    </xf>
    <xf numFmtId="0" fontId="2" fillId="11" borderId="22" xfId="0" applyFont="1" applyFill="1" applyBorder="1" applyAlignment="1">
      <alignment horizontal="center" vertical="center"/>
    </xf>
    <xf numFmtId="0" fontId="2" fillId="7" borderId="29" xfId="0" applyFont="1" applyFill="1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0" fontId="7" fillId="0" borderId="8" xfId="0" applyFont="1" applyBorder="1" applyAlignment="1">
      <alignment horizontal="center" vertical="center"/>
    </xf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0" xfId="0"/>
    <xf numFmtId="0" fontId="0" fillId="0" borderId="17" xfId="0" applyBorder="1"/>
    <xf numFmtId="0" fontId="0" fillId="0" borderId="3" xfId="0" applyBorder="1"/>
    <xf numFmtId="0" fontId="2" fillId="0" borderId="8" xfId="0" applyFont="1" applyBorder="1" applyAlignment="1">
      <alignment horizontal="left" vertical="center"/>
    </xf>
    <xf numFmtId="0" fontId="2" fillId="8" borderId="11" xfId="0" applyFont="1" applyFill="1" applyBorder="1" applyAlignment="1">
      <alignment horizontal="center"/>
    </xf>
    <xf numFmtId="0" fontId="1" fillId="8" borderId="8" xfId="0" applyFont="1" applyFill="1" applyBorder="1" applyAlignment="1">
      <alignment horizontal="center"/>
    </xf>
    <xf numFmtId="0" fontId="2" fillId="9" borderId="8" xfId="0" applyFont="1" applyFill="1" applyBorder="1" applyAlignment="1">
      <alignment horizontal="center"/>
    </xf>
    <xf numFmtId="0" fontId="2" fillId="8" borderId="13" xfId="0" applyFont="1" applyFill="1" applyBorder="1" applyAlignment="1">
      <alignment horizontal="center"/>
    </xf>
    <xf numFmtId="0" fontId="2" fillId="8" borderId="7" xfId="0" applyFont="1" applyFill="1" applyBorder="1" applyAlignment="1">
      <alignment horizontal="center"/>
    </xf>
    <xf numFmtId="0" fontId="1" fillId="8" borderId="11" xfId="0" applyFont="1" applyFill="1" applyBorder="1" applyAlignment="1">
      <alignment horizontal="center"/>
    </xf>
    <xf numFmtId="0" fontId="1" fillId="8" borderId="13" xfId="0" applyFont="1" applyFill="1" applyBorder="1" applyAlignment="1">
      <alignment horizontal="center"/>
    </xf>
    <xf numFmtId="0" fontId="1" fillId="8" borderId="7" xfId="0" applyFont="1" applyFill="1" applyBorder="1" applyAlignment="1">
      <alignment horizontal="center"/>
    </xf>
    <xf numFmtId="0" fontId="8" fillId="0" borderId="36" xfId="0" applyFont="1" applyBorder="1" applyAlignment="1">
      <alignment horizontal="center" vertical="center" wrapText="1"/>
    </xf>
    <xf numFmtId="0" fontId="8" fillId="0" borderId="11" xfId="0" applyFont="1" applyBorder="1" applyAlignment="1">
      <alignment horizontal="center" vertical="center" wrapText="1"/>
    </xf>
    <xf numFmtId="0" fontId="8" fillId="0" borderId="13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8" fillId="0" borderId="28" xfId="0" applyFont="1" applyBorder="1" applyAlignment="1">
      <alignment horizontal="center" vertical="center" wrapText="1"/>
    </xf>
    <xf numFmtId="0" fontId="8" fillId="0" borderId="9" xfId="0" applyFont="1" applyBorder="1" applyAlignment="1">
      <alignment horizontal="center" vertical="center" wrapText="1"/>
    </xf>
    <xf numFmtId="0" fontId="8" fillId="4" borderId="36" xfId="0" applyFont="1" applyFill="1" applyBorder="1" applyAlignment="1">
      <alignment horizontal="center" vertical="center" wrapText="1"/>
    </xf>
    <xf numFmtId="0" fontId="8" fillId="3" borderId="11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center" vertical="center" wrapText="1"/>
    </xf>
    <xf numFmtId="0" fontId="8" fillId="5" borderId="11" xfId="0" applyFont="1" applyFill="1" applyBorder="1" applyAlignment="1">
      <alignment horizontal="center" vertical="center" wrapText="1"/>
    </xf>
    <xf numFmtId="0" fontId="8" fillId="5" borderId="13" xfId="0" applyFont="1" applyFill="1" applyBorder="1" applyAlignment="1">
      <alignment horizontal="center" vertical="center" wrapText="1"/>
    </xf>
    <xf numFmtId="0" fontId="8" fillId="5" borderId="7" xfId="0" applyFont="1" applyFill="1" applyBorder="1" applyAlignment="1">
      <alignment horizontal="center" vertical="center" wrapText="1"/>
    </xf>
    <xf numFmtId="0" fontId="8" fillId="6" borderId="11" xfId="0" applyFont="1" applyFill="1" applyBorder="1" applyAlignment="1">
      <alignment horizontal="center" vertical="center" wrapText="1"/>
    </xf>
    <xf numFmtId="0" fontId="8" fillId="6" borderId="13" xfId="0" applyFont="1" applyFill="1" applyBorder="1" applyAlignment="1">
      <alignment horizontal="center" vertical="center" wrapText="1"/>
    </xf>
    <xf numFmtId="0" fontId="8" fillId="6" borderId="7" xfId="0" applyFont="1" applyFill="1" applyBorder="1" applyAlignment="1">
      <alignment horizontal="center" vertical="center" wrapText="1"/>
    </xf>
    <xf numFmtId="0" fontId="8" fillId="0" borderId="36" xfId="0" applyFont="1" applyBorder="1" applyAlignment="1">
      <alignment horizontal="left" vertical="center" wrapText="1"/>
    </xf>
    <xf numFmtId="0" fontId="8" fillId="4" borderId="28" xfId="0" applyFont="1" applyFill="1" applyBorder="1" applyAlignment="1">
      <alignment horizontal="center" vertical="center" wrapText="1"/>
    </xf>
    <xf numFmtId="0" fontId="8" fillId="5" borderId="36" xfId="0" applyFont="1" applyFill="1" applyBorder="1" applyAlignment="1">
      <alignment horizontal="center" vertical="center" wrapText="1"/>
    </xf>
    <xf numFmtId="0" fontId="8" fillId="6" borderId="36" xfId="0" applyFont="1" applyFill="1" applyBorder="1" applyAlignment="1">
      <alignment horizontal="center" vertical="center" wrapText="1"/>
    </xf>
    <xf numFmtId="0" fontId="8" fillId="0" borderId="9" xfId="0" applyFont="1" applyBorder="1" applyAlignment="1">
      <alignment horizontal="left" vertical="center" wrapText="1"/>
    </xf>
    <xf numFmtId="0" fontId="8" fillId="4" borderId="9" xfId="0" applyFont="1" applyFill="1" applyBorder="1" applyAlignment="1">
      <alignment horizontal="center" vertical="center" wrapText="1"/>
    </xf>
    <xf numFmtId="0" fontId="8" fillId="5" borderId="9" xfId="0" applyFont="1" applyFill="1" applyBorder="1" applyAlignment="1">
      <alignment horizontal="center" vertical="center" wrapText="1"/>
    </xf>
    <xf numFmtId="0" fontId="8" fillId="6" borderId="9" xfId="0" applyFont="1" applyFill="1" applyBorder="1" applyAlignment="1">
      <alignment horizontal="center" vertical="center" wrapText="1"/>
    </xf>
    <xf numFmtId="0" fontId="10" fillId="0" borderId="8" xfId="0" applyFont="1" applyBorder="1" applyAlignment="1">
      <alignment horizontal="left" vertical="center" wrapText="1"/>
    </xf>
    <xf numFmtId="0" fontId="9" fillId="0" borderId="0" xfId="0" applyFont="1" applyAlignment="1">
      <alignment vertical="center"/>
    </xf>
    <xf numFmtId="0" fontId="15" fillId="0" borderId="8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285750</xdr:colOff>
      <xdr:row>9</xdr:row>
      <xdr:rowOff>23813</xdr:rowOff>
    </xdr:from>
    <xdr:to>
      <xdr:col>15</xdr:col>
      <xdr:colOff>93845</xdr:colOff>
      <xdr:row>28</xdr:row>
      <xdr:rowOff>166688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6F23DE1-4BA4-F75E-023A-C6D13B2761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8438" y="1905001"/>
          <a:ext cx="4761095" cy="69532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580572</xdr:colOff>
      <xdr:row>17</xdr:row>
      <xdr:rowOff>133047</xdr:rowOff>
    </xdr:from>
    <xdr:to>
      <xdr:col>6</xdr:col>
      <xdr:colOff>163442</xdr:colOff>
      <xdr:row>35</xdr:row>
      <xdr:rowOff>106285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2B7C8EC-61A6-69BF-AFD4-A2AA774E78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0572" y="4765523"/>
          <a:ext cx="5449060" cy="323895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 tint="0.59999389629810485"/>
  </sheetPr>
  <dimension ref="B1:P20"/>
  <sheetViews>
    <sheetView workbookViewId="0">
      <selection activeCell="E13" sqref="E13"/>
    </sheetView>
  </sheetViews>
  <sheetFormatPr defaultColWidth="8.88671875" defaultRowHeight="14.4" x14ac:dyDescent="0.3"/>
  <cols>
    <col min="15" max="15" width="19.5546875" customWidth="1"/>
  </cols>
  <sheetData>
    <row r="1" spans="2:16" x14ac:dyDescent="0.3">
      <c r="B1" s="12"/>
      <c r="D1" s="54" t="s">
        <v>0</v>
      </c>
      <c r="E1" s="55"/>
      <c r="F1" s="55"/>
      <c r="G1" s="51"/>
    </row>
    <row r="2" spans="2:16" x14ac:dyDescent="0.3">
      <c r="B2" s="36" t="s">
        <v>59</v>
      </c>
    </row>
    <row r="4" spans="2:16" x14ac:dyDescent="0.3">
      <c r="B4" s="1" t="s">
        <v>60</v>
      </c>
      <c r="N4" s="5" t="s">
        <v>61</v>
      </c>
      <c r="O4" s="5"/>
      <c r="P4" s="5"/>
    </row>
    <row r="5" spans="2:16" x14ac:dyDescent="0.3">
      <c r="B5" s="1" t="s">
        <v>62</v>
      </c>
      <c r="N5" s="32" t="s">
        <v>63</v>
      </c>
      <c r="O5" s="32"/>
      <c r="P5" s="32"/>
    </row>
    <row r="6" spans="2:16" x14ac:dyDescent="0.3">
      <c r="B6" s="1" t="s">
        <v>64</v>
      </c>
      <c r="N6" s="24"/>
      <c r="O6" s="24" t="s">
        <v>65</v>
      </c>
      <c r="P6" s="24" t="s">
        <v>66</v>
      </c>
    </row>
    <row r="7" spans="2:16" x14ac:dyDescent="0.3">
      <c r="B7" s="1"/>
      <c r="C7" s="1"/>
      <c r="D7" s="1"/>
      <c r="E7" s="1"/>
      <c r="N7" s="24" t="s">
        <v>67</v>
      </c>
      <c r="O7" s="24" t="s">
        <v>138</v>
      </c>
      <c r="P7" s="24">
        <v>231</v>
      </c>
    </row>
    <row r="8" spans="2:16" x14ac:dyDescent="0.3">
      <c r="B8" s="1"/>
      <c r="C8" s="1"/>
      <c r="D8" s="1"/>
      <c r="E8" s="1"/>
      <c r="N8" s="24" t="s">
        <v>68</v>
      </c>
      <c r="O8" s="24" t="s">
        <v>139</v>
      </c>
      <c r="P8" s="24">
        <v>231</v>
      </c>
    </row>
    <row r="9" spans="2:16" x14ac:dyDescent="0.3">
      <c r="C9" s="1"/>
      <c r="D9" s="1"/>
      <c r="E9" s="1"/>
      <c r="N9" s="24" t="s">
        <v>69</v>
      </c>
      <c r="O9" s="24" t="s">
        <v>140</v>
      </c>
      <c r="P9" s="24">
        <v>231</v>
      </c>
    </row>
    <row r="10" spans="2:16" x14ac:dyDescent="0.3">
      <c r="C10" s="1"/>
      <c r="D10" s="1"/>
      <c r="E10" s="1"/>
    </row>
    <row r="11" spans="2:16" x14ac:dyDescent="0.3">
      <c r="B11" s="34"/>
      <c r="C11" s="1"/>
      <c r="D11" s="1"/>
      <c r="E11" s="1"/>
    </row>
    <row r="12" spans="2:16" x14ac:dyDescent="0.3">
      <c r="C12" s="1"/>
      <c r="D12" s="1"/>
      <c r="E12" s="1"/>
    </row>
    <row r="19" spans="2:2" x14ac:dyDescent="0.3">
      <c r="B19" s="1"/>
    </row>
    <row r="20" spans="2:2" x14ac:dyDescent="0.3">
      <c r="B20" s="1"/>
    </row>
  </sheetData>
  <mergeCells count="1">
    <mergeCell ref="D1:G1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59999389629810485"/>
  </sheetPr>
  <dimension ref="B1:T25"/>
  <sheetViews>
    <sheetView topLeftCell="C8" zoomScale="78" zoomScaleNormal="90" workbookViewId="0">
      <selection activeCell="R20" sqref="R20:T20"/>
    </sheetView>
  </sheetViews>
  <sheetFormatPr defaultColWidth="8.88671875" defaultRowHeight="14.4" x14ac:dyDescent="0.3"/>
  <cols>
    <col min="2" max="2" width="12" customWidth="1"/>
    <col min="3" max="3" width="34" customWidth="1"/>
    <col min="17" max="17" width="12" customWidth="1"/>
    <col min="18" max="18" width="18" customWidth="1"/>
    <col min="19" max="19" width="9" customWidth="1"/>
    <col min="20" max="20" width="17.6640625" customWidth="1"/>
  </cols>
  <sheetData>
    <row r="1" spans="2:20" x14ac:dyDescent="0.3">
      <c r="B1" s="12"/>
      <c r="D1" s="54" t="s">
        <v>0</v>
      </c>
      <c r="E1" s="55"/>
      <c r="F1" s="55"/>
      <c r="G1" s="55"/>
      <c r="H1" s="55"/>
      <c r="I1" s="51"/>
    </row>
    <row r="3" spans="2:20" x14ac:dyDescent="0.3">
      <c r="B3" s="97" t="s">
        <v>70</v>
      </c>
      <c r="C3" s="55"/>
      <c r="D3" s="55"/>
      <c r="E3" s="55"/>
      <c r="F3" s="55"/>
      <c r="G3" s="55"/>
      <c r="H3" s="55"/>
      <c r="I3" s="55"/>
      <c r="J3" s="55"/>
      <c r="K3" s="51"/>
    </row>
    <row r="6" spans="2:20" x14ac:dyDescent="0.3">
      <c r="B6" s="54" t="s">
        <v>71</v>
      </c>
      <c r="C6" s="55"/>
      <c r="D6" s="55"/>
      <c r="E6" s="51"/>
      <c r="F6" s="28"/>
      <c r="G6" s="28"/>
      <c r="I6" s="96" t="s">
        <v>72</v>
      </c>
      <c r="J6" s="55"/>
      <c r="K6" s="55"/>
      <c r="L6" s="55"/>
      <c r="M6" s="55"/>
      <c r="N6" s="55"/>
      <c r="O6" s="55"/>
      <c r="Q6" s="96" t="s">
        <v>73</v>
      </c>
      <c r="R6" s="55"/>
      <c r="S6" s="55"/>
      <c r="T6" s="55"/>
    </row>
    <row r="8" spans="2:20" x14ac:dyDescent="0.3">
      <c r="B8" s="29" t="s">
        <v>74</v>
      </c>
      <c r="C8" s="98" t="s">
        <v>75</v>
      </c>
      <c r="D8" s="55"/>
      <c r="E8" s="51"/>
      <c r="F8" s="30"/>
      <c r="G8" s="30"/>
      <c r="I8" s="38" t="s">
        <v>76</v>
      </c>
      <c r="Q8" s="95" t="s">
        <v>77</v>
      </c>
      <c r="R8" s="55"/>
      <c r="S8" s="51"/>
      <c r="T8" s="31">
        <v>5</v>
      </c>
    </row>
    <row r="9" spans="2:20" ht="27.6" customHeight="1" x14ac:dyDescent="0.3">
      <c r="B9" s="47" t="s">
        <v>129</v>
      </c>
      <c r="C9" s="47" t="s">
        <v>130</v>
      </c>
      <c r="D9" s="40"/>
      <c r="F9" s="30"/>
      <c r="G9" s="30"/>
      <c r="I9" s="38"/>
      <c r="Q9" s="39"/>
      <c r="R9" s="40"/>
      <c r="S9" s="41"/>
      <c r="T9" s="31"/>
    </row>
    <row r="10" spans="2:20" ht="24" customHeight="1" x14ac:dyDescent="0.3">
      <c r="B10" s="32" t="s">
        <v>104</v>
      </c>
      <c r="C10" s="87" t="s">
        <v>113</v>
      </c>
      <c r="D10" s="55"/>
      <c r="E10" s="51"/>
      <c r="F10" s="33"/>
      <c r="G10" s="33"/>
      <c r="I10" s="35"/>
      <c r="Q10" s="95" t="s">
        <v>78</v>
      </c>
      <c r="R10" s="55"/>
      <c r="S10" s="51"/>
      <c r="T10" s="31" t="s">
        <v>131</v>
      </c>
    </row>
    <row r="11" spans="2:20" ht="55.2" customHeight="1" x14ac:dyDescent="0.3">
      <c r="B11" s="32" t="s">
        <v>105</v>
      </c>
      <c r="C11" s="87" t="s">
        <v>114</v>
      </c>
      <c r="D11" s="55"/>
      <c r="E11" s="51"/>
      <c r="F11" s="33"/>
      <c r="G11" s="33"/>
      <c r="I11" s="88"/>
      <c r="J11" s="89"/>
      <c r="K11" s="89"/>
      <c r="L11" s="89"/>
      <c r="M11" s="89"/>
      <c r="N11" s="89"/>
      <c r="O11" s="90"/>
      <c r="Q11" s="95" t="s">
        <v>79</v>
      </c>
      <c r="R11" s="55"/>
      <c r="S11" s="51"/>
      <c r="T11" s="31" t="s">
        <v>132</v>
      </c>
    </row>
    <row r="12" spans="2:20" ht="24" customHeight="1" x14ac:dyDescent="0.3">
      <c r="B12" s="32" t="s">
        <v>106</v>
      </c>
      <c r="C12" s="87" t="s">
        <v>115</v>
      </c>
      <c r="D12" s="55"/>
      <c r="E12" s="51"/>
      <c r="F12" s="33"/>
      <c r="G12" s="33"/>
      <c r="I12" s="91"/>
      <c r="J12" s="92"/>
      <c r="K12" s="92"/>
      <c r="L12" s="92"/>
      <c r="M12" s="92"/>
      <c r="N12" s="92"/>
      <c r="O12" s="93"/>
    </row>
    <row r="13" spans="2:20" ht="24" customHeight="1" x14ac:dyDescent="0.3">
      <c r="B13" s="32" t="s">
        <v>107</v>
      </c>
      <c r="C13" s="87" t="s">
        <v>116</v>
      </c>
      <c r="D13" s="55"/>
      <c r="E13" s="51"/>
      <c r="F13" s="33"/>
      <c r="G13" s="33"/>
      <c r="I13" s="91"/>
      <c r="J13" s="92"/>
      <c r="K13" s="92"/>
      <c r="L13" s="92"/>
      <c r="M13" s="92"/>
      <c r="N13" s="92"/>
      <c r="O13" s="93"/>
    </row>
    <row r="14" spans="2:20" ht="24" customHeight="1" x14ac:dyDescent="0.3">
      <c r="B14" s="32" t="s">
        <v>108</v>
      </c>
      <c r="C14" s="87" t="s">
        <v>117</v>
      </c>
      <c r="D14" s="55"/>
      <c r="E14" s="51"/>
      <c r="F14" s="33"/>
      <c r="G14" s="33"/>
      <c r="I14" s="91"/>
      <c r="J14" s="92"/>
      <c r="K14" s="92"/>
      <c r="L14" s="92"/>
      <c r="M14" s="92"/>
      <c r="N14" s="92"/>
      <c r="O14" s="93"/>
      <c r="Q14" s="96" t="s">
        <v>80</v>
      </c>
      <c r="R14" s="55"/>
      <c r="S14" s="55"/>
      <c r="T14" s="55"/>
    </row>
    <row r="15" spans="2:20" ht="75" customHeight="1" x14ac:dyDescent="0.3">
      <c r="B15" s="32" t="s">
        <v>109</v>
      </c>
      <c r="C15" s="87" t="s">
        <v>118</v>
      </c>
      <c r="D15" s="55"/>
      <c r="E15" s="51"/>
      <c r="F15" s="33"/>
      <c r="G15" s="33"/>
      <c r="I15" s="91"/>
      <c r="J15" s="92"/>
      <c r="K15" s="92"/>
      <c r="L15" s="92"/>
      <c r="M15" s="92"/>
      <c r="N15" s="92"/>
      <c r="O15" s="93"/>
    </row>
    <row r="16" spans="2:20" ht="24" customHeight="1" x14ac:dyDescent="0.3">
      <c r="B16" s="32" t="s">
        <v>110</v>
      </c>
      <c r="C16" s="87" t="s">
        <v>119</v>
      </c>
      <c r="D16" s="55"/>
      <c r="E16" s="51"/>
      <c r="I16" s="91"/>
      <c r="J16" s="92"/>
      <c r="K16" s="92"/>
      <c r="L16" s="92"/>
      <c r="M16" s="92"/>
      <c r="N16" s="92"/>
      <c r="O16" s="93"/>
      <c r="Q16" s="29" t="s">
        <v>81</v>
      </c>
      <c r="R16" s="98" t="s">
        <v>82</v>
      </c>
      <c r="S16" s="55"/>
      <c r="T16" s="51"/>
    </row>
    <row r="17" spans="2:20" ht="30" customHeight="1" x14ac:dyDescent="0.3">
      <c r="B17" s="32">
        <v>8</v>
      </c>
      <c r="C17" s="87" t="s">
        <v>120</v>
      </c>
      <c r="D17" s="55"/>
      <c r="E17" s="51"/>
      <c r="I17" s="91"/>
      <c r="J17" s="92"/>
      <c r="K17" s="92"/>
      <c r="L17" s="92"/>
      <c r="M17" s="92"/>
      <c r="N17" s="92"/>
      <c r="O17" s="93"/>
      <c r="Q17" s="32" t="s">
        <v>83</v>
      </c>
      <c r="R17" s="87" t="s">
        <v>133</v>
      </c>
      <c r="S17" s="55"/>
      <c r="T17" s="51"/>
    </row>
    <row r="18" spans="2:20" ht="30" customHeight="1" x14ac:dyDescent="0.3">
      <c r="B18" s="32" t="s">
        <v>111</v>
      </c>
      <c r="C18" s="87" t="s">
        <v>121</v>
      </c>
      <c r="D18" s="55"/>
      <c r="E18" s="51"/>
      <c r="I18" s="91"/>
      <c r="J18" s="92"/>
      <c r="K18" s="92"/>
      <c r="L18" s="92"/>
      <c r="M18" s="92"/>
      <c r="N18" s="92"/>
      <c r="O18" s="93"/>
      <c r="Q18" s="32" t="s">
        <v>84</v>
      </c>
      <c r="R18" s="87" t="s">
        <v>134</v>
      </c>
      <c r="S18" s="55"/>
      <c r="T18" s="51"/>
    </row>
    <row r="19" spans="2:20" ht="30" customHeight="1" x14ac:dyDescent="0.3">
      <c r="B19" s="32" t="s">
        <v>112</v>
      </c>
      <c r="C19" s="87" t="s">
        <v>122</v>
      </c>
      <c r="D19" s="55"/>
      <c r="E19" s="51"/>
      <c r="I19" s="91"/>
      <c r="J19" s="92"/>
      <c r="K19" s="92"/>
      <c r="L19" s="92"/>
      <c r="M19" s="92"/>
      <c r="N19" s="92"/>
      <c r="O19" s="93"/>
      <c r="Q19" s="32" t="s">
        <v>85</v>
      </c>
      <c r="R19" s="87" t="s">
        <v>135</v>
      </c>
      <c r="S19" s="55"/>
      <c r="T19" s="51"/>
    </row>
    <row r="20" spans="2:20" ht="30" customHeight="1" x14ac:dyDescent="0.3">
      <c r="B20" s="32" t="s">
        <v>123</v>
      </c>
      <c r="C20" s="87" t="s">
        <v>125</v>
      </c>
      <c r="D20" s="55"/>
      <c r="E20" s="51"/>
      <c r="I20" s="91"/>
      <c r="J20" s="92"/>
      <c r="K20" s="92"/>
      <c r="L20" s="92"/>
      <c r="M20" s="92"/>
      <c r="N20" s="92"/>
      <c r="O20" s="93"/>
      <c r="Q20" s="32" t="s">
        <v>86</v>
      </c>
      <c r="R20" s="87" t="s">
        <v>136</v>
      </c>
      <c r="S20" s="55"/>
      <c r="T20" s="51"/>
    </row>
    <row r="21" spans="2:20" ht="30" customHeight="1" x14ac:dyDescent="0.3">
      <c r="B21" s="32" t="s">
        <v>124</v>
      </c>
      <c r="C21" s="87" t="s">
        <v>126</v>
      </c>
      <c r="D21" s="55"/>
      <c r="E21" s="51"/>
      <c r="I21" s="91"/>
      <c r="J21" s="92"/>
      <c r="K21" s="92"/>
      <c r="L21" s="92"/>
      <c r="M21" s="92"/>
      <c r="N21" s="92"/>
      <c r="O21" s="93"/>
      <c r="Q21" s="32" t="s">
        <v>87</v>
      </c>
      <c r="R21" s="87" t="s">
        <v>137</v>
      </c>
      <c r="S21" s="55"/>
      <c r="T21" s="51"/>
    </row>
    <row r="22" spans="2:20" ht="30" customHeight="1" x14ac:dyDescent="0.3">
      <c r="B22" s="32" t="s">
        <v>127</v>
      </c>
      <c r="C22" s="87" t="s">
        <v>128</v>
      </c>
      <c r="D22" s="55"/>
      <c r="E22" s="51"/>
      <c r="I22" s="91"/>
      <c r="J22" s="92"/>
      <c r="K22" s="92"/>
      <c r="L22" s="92"/>
      <c r="M22" s="92"/>
      <c r="N22" s="92"/>
      <c r="O22" s="93"/>
      <c r="Q22" s="32"/>
      <c r="R22" s="87"/>
      <c r="S22" s="55"/>
      <c r="T22" s="51"/>
    </row>
    <row r="23" spans="2:20" ht="30" customHeight="1" x14ac:dyDescent="0.3">
      <c r="I23" s="91"/>
      <c r="J23" s="92"/>
      <c r="K23" s="92"/>
      <c r="L23" s="92"/>
      <c r="M23" s="92"/>
      <c r="N23" s="92"/>
      <c r="O23" s="93"/>
      <c r="Q23" s="32"/>
      <c r="R23" s="87"/>
      <c r="S23" s="55"/>
      <c r="T23" s="51"/>
    </row>
    <row r="24" spans="2:20" x14ac:dyDescent="0.3">
      <c r="I24" s="91"/>
      <c r="J24" s="92"/>
      <c r="K24" s="92"/>
      <c r="L24" s="92"/>
      <c r="M24" s="92"/>
      <c r="N24" s="92"/>
      <c r="O24" s="93"/>
      <c r="Q24" s="42"/>
      <c r="R24" s="42"/>
      <c r="S24" s="40"/>
      <c r="T24" s="41"/>
    </row>
    <row r="25" spans="2:20" x14ac:dyDescent="0.3">
      <c r="I25" s="63"/>
      <c r="J25" s="94"/>
      <c r="K25" s="94"/>
      <c r="L25" s="94"/>
      <c r="M25" s="94"/>
      <c r="N25" s="94"/>
      <c r="O25" s="75"/>
      <c r="Q25" s="42"/>
      <c r="R25" s="42"/>
      <c r="S25" s="40"/>
      <c r="T25" s="41"/>
    </row>
  </sheetData>
  <mergeCells count="32">
    <mergeCell ref="Q11:S11"/>
    <mergeCell ref="B6:E6"/>
    <mergeCell ref="C10:E10"/>
    <mergeCell ref="Q10:S10"/>
    <mergeCell ref="C8:E8"/>
    <mergeCell ref="C13:E13"/>
    <mergeCell ref="C12:E12"/>
    <mergeCell ref="Q14:T14"/>
    <mergeCell ref="R18:T18"/>
    <mergeCell ref="C17:E17"/>
    <mergeCell ref="R16:T16"/>
    <mergeCell ref="R19:T19"/>
    <mergeCell ref="C19:E19"/>
    <mergeCell ref="C16:E16"/>
    <mergeCell ref="R22:T22"/>
    <mergeCell ref="R21:T21"/>
    <mergeCell ref="D1:I1"/>
    <mergeCell ref="C15:E15"/>
    <mergeCell ref="R20:T20"/>
    <mergeCell ref="I11:O25"/>
    <mergeCell ref="Q8:S8"/>
    <mergeCell ref="Q6:T6"/>
    <mergeCell ref="R17:T17"/>
    <mergeCell ref="C11:E11"/>
    <mergeCell ref="C20:E20"/>
    <mergeCell ref="C21:E21"/>
    <mergeCell ref="C22:E22"/>
    <mergeCell ref="R23:T23"/>
    <mergeCell ref="C18:E18"/>
    <mergeCell ref="I6:O6"/>
    <mergeCell ref="B3:K3"/>
    <mergeCell ref="C14:E14"/>
  </mergeCells>
  <phoneticPr fontId="13" type="noConversion"/>
  <pageMargins left="0.7" right="0.7" top="0.75" bottom="0.75" header="0.3" footer="0.3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EBCE0-CF0B-4E31-8698-9339162F3535}">
  <sheetPr>
    <tabColor theme="7" tint="0.59999389629810485"/>
  </sheetPr>
  <dimension ref="B1:AB16"/>
  <sheetViews>
    <sheetView tabSelected="1" zoomScale="60" workbookViewId="0">
      <selection activeCell="N25" sqref="N25"/>
    </sheetView>
  </sheetViews>
  <sheetFormatPr defaultColWidth="8.88671875" defaultRowHeight="14.4" x14ac:dyDescent="0.3"/>
  <cols>
    <col min="2" max="2" width="12.33203125" customWidth="1"/>
    <col min="3" max="4" width="18.109375" bestFit="1" customWidth="1"/>
    <col min="5" max="5" width="19.88671875" bestFit="1" customWidth="1"/>
    <col min="6" max="6" width="8.109375" customWidth="1"/>
    <col min="7" max="7" width="18" customWidth="1"/>
    <col min="8" max="8" width="11.109375" customWidth="1"/>
    <col min="9" max="10" width="21.88671875" customWidth="1"/>
    <col min="11" max="11" width="25.88671875" customWidth="1"/>
    <col min="12" max="12" width="6.44140625" customWidth="1"/>
    <col min="13" max="13" width="5" customWidth="1"/>
    <col min="15" max="15" width="11.88671875" customWidth="1"/>
    <col min="16" max="16" width="58.6640625" customWidth="1"/>
    <col min="17" max="17" width="8.88671875" customWidth="1"/>
    <col min="21" max="21" width="9.109375" customWidth="1"/>
    <col min="22" max="24" width="2.109375" bestFit="1" customWidth="1"/>
    <col min="25" max="25" width="3.5546875" bestFit="1" customWidth="1"/>
    <col min="26" max="26" width="2.109375" bestFit="1" customWidth="1"/>
    <col min="27" max="27" width="4.109375" bestFit="1" customWidth="1"/>
    <col min="28" max="28" width="5.109375" bestFit="1" customWidth="1"/>
  </cols>
  <sheetData>
    <row r="1" spans="2:28" x14ac:dyDescent="0.3">
      <c r="B1" s="12"/>
      <c r="D1" s="96" t="s">
        <v>0</v>
      </c>
      <c r="E1" s="99"/>
      <c r="F1" s="99"/>
      <c r="G1" s="100"/>
    </row>
    <row r="3" spans="2:28" x14ac:dyDescent="0.3">
      <c r="B3" s="101" t="s">
        <v>141</v>
      </c>
      <c r="C3" s="102"/>
      <c r="D3" s="102"/>
      <c r="E3" s="102"/>
      <c r="F3" s="103"/>
    </row>
    <row r="5" spans="2:28" x14ac:dyDescent="0.3">
      <c r="B5" s="11"/>
    </row>
    <row r="6" spans="2:28" ht="15.6" x14ac:dyDescent="0.3">
      <c r="B6" s="104" t="s">
        <v>88</v>
      </c>
      <c r="C6" s="104" t="s">
        <v>89</v>
      </c>
      <c r="D6" s="104" t="s">
        <v>90</v>
      </c>
      <c r="E6" s="105" t="s">
        <v>91</v>
      </c>
      <c r="F6" s="106"/>
      <c r="G6" s="106"/>
      <c r="H6" s="106"/>
      <c r="I6" s="106"/>
      <c r="J6" s="106"/>
      <c r="K6" s="106"/>
      <c r="L6" s="106"/>
      <c r="M6" s="106"/>
      <c r="N6" s="106"/>
      <c r="O6" s="106"/>
      <c r="P6" s="106"/>
      <c r="Q6" s="106"/>
      <c r="R6" s="106"/>
      <c r="S6" s="106"/>
      <c r="T6" s="106"/>
      <c r="U6" s="106"/>
      <c r="V6" s="106"/>
      <c r="W6" s="106"/>
      <c r="X6" s="106"/>
      <c r="Y6" s="106"/>
      <c r="Z6" s="106"/>
      <c r="AA6" s="106"/>
      <c r="AB6" s="107"/>
    </row>
    <row r="7" spans="2:28" ht="15.6" customHeight="1" x14ac:dyDescent="0.3">
      <c r="B7" s="108"/>
      <c r="C7" s="109"/>
      <c r="D7" s="109"/>
      <c r="E7" s="110" t="s">
        <v>92</v>
      </c>
      <c r="F7" s="111" t="s">
        <v>142</v>
      </c>
      <c r="G7" s="112"/>
      <c r="H7" s="112"/>
      <c r="I7" s="112"/>
      <c r="J7" s="112"/>
      <c r="K7" s="112"/>
      <c r="L7" s="112"/>
      <c r="M7" s="112"/>
      <c r="N7" s="112"/>
      <c r="O7" s="113"/>
      <c r="P7" s="114" t="s">
        <v>93</v>
      </c>
      <c r="Q7" s="115"/>
      <c r="R7" s="115"/>
      <c r="S7" s="115"/>
      <c r="T7" s="115"/>
      <c r="U7" s="116"/>
      <c r="V7" s="117" t="s">
        <v>94</v>
      </c>
      <c r="W7" s="118"/>
      <c r="X7" s="118"/>
      <c r="Y7" s="118"/>
      <c r="Z7" s="118"/>
      <c r="AA7" s="118"/>
      <c r="AB7" s="119"/>
    </row>
    <row r="8" spans="2:28" ht="15.6" customHeight="1" x14ac:dyDescent="0.3">
      <c r="B8" s="108"/>
      <c r="C8" s="120" t="s">
        <v>7</v>
      </c>
      <c r="D8" s="120" t="s">
        <v>7</v>
      </c>
      <c r="E8" s="121"/>
      <c r="F8" s="111" t="s">
        <v>143</v>
      </c>
      <c r="G8" s="113"/>
      <c r="H8" s="111" t="s">
        <v>144</v>
      </c>
      <c r="I8" s="113"/>
      <c r="J8" s="111" t="s">
        <v>145</v>
      </c>
      <c r="K8" s="113"/>
      <c r="L8" s="111" t="s">
        <v>7</v>
      </c>
      <c r="M8" s="113"/>
      <c r="N8" s="111" t="s">
        <v>146</v>
      </c>
      <c r="O8" s="113"/>
      <c r="P8" s="122" t="s">
        <v>83</v>
      </c>
      <c r="Q8" s="122" t="s">
        <v>84</v>
      </c>
      <c r="R8" s="122" t="s">
        <v>7</v>
      </c>
      <c r="S8" s="122" t="s">
        <v>7</v>
      </c>
      <c r="T8" s="122" t="s">
        <v>7</v>
      </c>
      <c r="U8" s="122" t="s">
        <v>147</v>
      </c>
      <c r="V8" s="123">
        <v>0</v>
      </c>
      <c r="W8" s="123">
        <v>1</v>
      </c>
      <c r="X8" s="123">
        <v>2</v>
      </c>
      <c r="Y8" s="123" t="s">
        <v>95</v>
      </c>
      <c r="Z8" s="123" t="s">
        <v>96</v>
      </c>
      <c r="AA8" s="123" t="s">
        <v>97</v>
      </c>
      <c r="AB8" s="123" t="s">
        <v>98</v>
      </c>
    </row>
    <row r="9" spans="2:28" ht="15.6" x14ac:dyDescent="0.3">
      <c r="B9" s="109"/>
      <c r="C9" s="124"/>
      <c r="D9" s="124"/>
      <c r="E9" s="125"/>
      <c r="F9" s="13" t="s">
        <v>99</v>
      </c>
      <c r="G9" s="13" t="s">
        <v>100</v>
      </c>
      <c r="H9" s="13" t="s">
        <v>99</v>
      </c>
      <c r="I9" s="13" t="s">
        <v>100</v>
      </c>
      <c r="J9" s="13" t="s">
        <v>99</v>
      </c>
      <c r="K9" s="13" t="s">
        <v>100</v>
      </c>
      <c r="L9" s="13" t="s">
        <v>99</v>
      </c>
      <c r="M9" s="13" t="s">
        <v>100</v>
      </c>
      <c r="N9" s="13" t="s">
        <v>99</v>
      </c>
      <c r="O9" s="13" t="s">
        <v>100</v>
      </c>
      <c r="P9" s="126"/>
      <c r="Q9" s="126"/>
      <c r="R9" s="126"/>
      <c r="S9" s="126"/>
      <c r="T9" s="126"/>
      <c r="U9" s="126"/>
      <c r="V9" s="127"/>
      <c r="W9" s="127"/>
      <c r="X9" s="127"/>
      <c r="Y9" s="127"/>
      <c r="Z9" s="127"/>
      <c r="AA9" s="127"/>
      <c r="AB9" s="127"/>
    </row>
    <row r="10" spans="2:28" ht="31.2" x14ac:dyDescent="0.3">
      <c r="B10" s="14" t="s">
        <v>12</v>
      </c>
      <c r="C10" s="14" t="s">
        <v>156</v>
      </c>
      <c r="D10" s="46" t="s">
        <v>155</v>
      </c>
      <c r="E10" s="15" t="s">
        <v>148</v>
      </c>
      <c r="F10" s="16"/>
      <c r="G10" s="16" t="s">
        <v>101</v>
      </c>
      <c r="H10" s="16"/>
      <c r="I10" s="16"/>
      <c r="J10" s="16"/>
      <c r="K10" s="16"/>
      <c r="L10" s="16"/>
      <c r="M10" s="16"/>
      <c r="N10" s="16"/>
      <c r="O10" s="16"/>
      <c r="P10" s="17" t="s">
        <v>133</v>
      </c>
      <c r="Q10" s="17"/>
      <c r="R10" s="17"/>
      <c r="S10" s="17"/>
      <c r="T10" s="17"/>
      <c r="U10" s="17"/>
      <c r="V10" s="18"/>
      <c r="W10" s="18"/>
      <c r="X10" s="18"/>
      <c r="Y10" s="18"/>
      <c r="Z10" s="18"/>
      <c r="AA10" s="18"/>
      <c r="AB10" s="18"/>
    </row>
    <row r="11" spans="2:28" ht="46.8" x14ac:dyDescent="0.3">
      <c r="B11" s="14" t="s">
        <v>102</v>
      </c>
      <c r="C11" s="14" t="s">
        <v>158</v>
      </c>
      <c r="D11" s="46" t="s">
        <v>157</v>
      </c>
      <c r="E11" s="15" t="s">
        <v>149</v>
      </c>
      <c r="F11" s="16" t="s">
        <v>101</v>
      </c>
      <c r="G11" s="16"/>
      <c r="H11" s="16"/>
      <c r="I11" s="16" t="s">
        <v>101</v>
      </c>
      <c r="J11" s="16"/>
      <c r="K11" s="16"/>
      <c r="L11" s="16"/>
      <c r="M11" s="16"/>
      <c r="N11" s="16"/>
      <c r="O11" s="16"/>
      <c r="P11" s="17" t="s">
        <v>134</v>
      </c>
      <c r="Q11" s="17"/>
      <c r="R11" s="17"/>
      <c r="S11" s="17"/>
      <c r="T11" s="17"/>
      <c r="U11" s="17"/>
      <c r="V11" s="18"/>
      <c r="W11" s="18"/>
      <c r="X11" s="18"/>
      <c r="Y11" s="18"/>
      <c r="Z11" s="18"/>
      <c r="AA11" s="18"/>
      <c r="AB11" s="18"/>
    </row>
    <row r="12" spans="2:28" ht="31.2" x14ac:dyDescent="0.3">
      <c r="B12" s="14" t="s">
        <v>103</v>
      </c>
      <c r="C12" s="130" t="s">
        <v>159</v>
      </c>
      <c r="D12" s="128"/>
      <c r="E12" s="15" t="s">
        <v>150</v>
      </c>
      <c r="F12" s="16" t="s">
        <v>101</v>
      </c>
      <c r="G12" s="16"/>
      <c r="H12" s="16" t="s">
        <v>101</v>
      </c>
      <c r="I12" s="16"/>
      <c r="J12" s="16"/>
      <c r="K12" s="16" t="s">
        <v>101</v>
      </c>
      <c r="L12" s="16"/>
      <c r="M12" s="16"/>
      <c r="N12" s="16"/>
      <c r="O12" s="16"/>
      <c r="P12" s="17" t="s">
        <v>152</v>
      </c>
      <c r="Q12" s="17"/>
      <c r="R12" s="17"/>
      <c r="S12" s="17"/>
      <c r="T12" s="17"/>
      <c r="U12" s="17"/>
      <c r="V12" s="18">
        <v>1</v>
      </c>
      <c r="W12" s="18">
        <v>1</v>
      </c>
      <c r="X12" s="18"/>
      <c r="Y12" s="18"/>
      <c r="Z12" s="18"/>
      <c r="AA12" s="18"/>
      <c r="AB12" s="18"/>
    </row>
    <row r="13" spans="2:28" ht="46.8" x14ac:dyDescent="0.3">
      <c r="B13" s="14" t="s">
        <v>21</v>
      </c>
      <c r="C13" s="14" t="s">
        <v>160</v>
      </c>
      <c r="D13" s="46"/>
      <c r="E13" s="15" t="s">
        <v>151</v>
      </c>
      <c r="F13" s="16" t="s">
        <v>101</v>
      </c>
      <c r="G13" s="16"/>
      <c r="H13" s="16" t="s">
        <v>101</v>
      </c>
      <c r="I13" s="16"/>
      <c r="J13" s="16" t="s">
        <v>101</v>
      </c>
      <c r="K13" s="16"/>
      <c r="L13" s="16"/>
      <c r="M13" s="16"/>
      <c r="N13" s="16"/>
      <c r="O13" s="16" t="s">
        <v>101</v>
      </c>
      <c r="P13" s="17" t="s">
        <v>154</v>
      </c>
      <c r="Q13" s="17"/>
      <c r="R13" s="17"/>
      <c r="S13" s="17"/>
      <c r="T13" s="17"/>
      <c r="U13" s="17"/>
      <c r="V13" s="18">
        <v>1</v>
      </c>
      <c r="W13" s="18">
        <v>2</v>
      </c>
      <c r="X13" s="18"/>
      <c r="Y13" s="18"/>
      <c r="Z13" s="18"/>
      <c r="AA13" s="18"/>
      <c r="AB13" s="18"/>
    </row>
    <row r="14" spans="2:28" ht="31.2" x14ac:dyDescent="0.3">
      <c r="B14" s="14" t="s">
        <v>27</v>
      </c>
      <c r="C14" s="14" t="s">
        <v>161</v>
      </c>
      <c r="D14" s="46"/>
      <c r="E14" s="15" t="s">
        <v>150</v>
      </c>
      <c r="F14" s="16" t="s">
        <v>101</v>
      </c>
      <c r="G14" s="16"/>
      <c r="H14" s="16" t="s">
        <v>101</v>
      </c>
      <c r="I14" s="16"/>
      <c r="J14" s="16" t="s">
        <v>101</v>
      </c>
      <c r="K14" s="16"/>
      <c r="L14" s="16"/>
      <c r="M14" s="16"/>
      <c r="N14" s="16" t="s">
        <v>101</v>
      </c>
      <c r="O14" s="16"/>
      <c r="P14" s="17" t="s">
        <v>153</v>
      </c>
      <c r="Q14" s="17"/>
      <c r="R14" s="17"/>
      <c r="S14" s="17"/>
      <c r="T14" s="17"/>
      <c r="U14" s="17"/>
      <c r="V14" s="18">
        <v>1</v>
      </c>
      <c r="W14" s="18">
        <v>0</v>
      </c>
      <c r="X14" s="18"/>
      <c r="Y14" s="18"/>
      <c r="Z14" s="18"/>
      <c r="AA14" s="18"/>
      <c r="AB14" s="18"/>
    </row>
    <row r="15" spans="2:28" ht="15.6" x14ac:dyDescent="0.3">
      <c r="B15" s="14" t="s">
        <v>7</v>
      </c>
      <c r="C15" s="14"/>
      <c r="D15" s="46"/>
      <c r="E15" s="15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7"/>
      <c r="Q15" s="17"/>
      <c r="R15" s="17"/>
      <c r="S15" s="17"/>
      <c r="T15" s="17"/>
      <c r="U15" s="17"/>
      <c r="V15" s="18"/>
      <c r="W15" s="18"/>
      <c r="X15" s="18"/>
      <c r="Y15" s="18"/>
      <c r="Z15" s="18"/>
      <c r="AA15" s="18"/>
      <c r="AB15" s="18"/>
    </row>
    <row r="16" spans="2:28" ht="15.6" x14ac:dyDescent="0.3">
      <c r="B16" s="129"/>
    </row>
  </sheetData>
  <mergeCells count="30">
    <mergeCell ref="AA8:AA9"/>
    <mergeCell ref="AB8:AB9"/>
    <mergeCell ref="U8:U9"/>
    <mergeCell ref="V8:V9"/>
    <mergeCell ref="W8:W9"/>
    <mergeCell ref="X8:X9"/>
    <mergeCell ref="Y8:Y9"/>
    <mergeCell ref="Z8:Z9"/>
    <mergeCell ref="N8:O8"/>
    <mergeCell ref="P8:P9"/>
    <mergeCell ref="Q8:Q9"/>
    <mergeCell ref="R8:R9"/>
    <mergeCell ref="S8:S9"/>
    <mergeCell ref="T8:T9"/>
    <mergeCell ref="C8:C9"/>
    <mergeCell ref="D8:D9"/>
    <mergeCell ref="F8:G8"/>
    <mergeCell ref="H8:I8"/>
    <mergeCell ref="J8:K8"/>
    <mergeCell ref="L8:M8"/>
    <mergeCell ref="D1:G1"/>
    <mergeCell ref="B3:F3"/>
    <mergeCell ref="B6:B9"/>
    <mergeCell ref="C6:C7"/>
    <mergeCell ref="D6:D7"/>
    <mergeCell ref="E6:AB6"/>
    <mergeCell ref="E7:E9"/>
    <mergeCell ref="F7:O7"/>
    <mergeCell ref="P7:U7"/>
    <mergeCell ref="V7:AB7"/>
  </mergeCells>
  <phoneticPr fontId="13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 tint="0.59999389629810485"/>
  </sheetPr>
  <dimension ref="B1:N16"/>
  <sheetViews>
    <sheetView workbookViewId="0">
      <selection activeCell="I20" sqref="I20"/>
    </sheetView>
  </sheetViews>
  <sheetFormatPr defaultColWidth="8.88671875" defaultRowHeight="14.4" x14ac:dyDescent="0.3"/>
  <cols>
    <col min="3" max="3" width="7.109375" bestFit="1" customWidth="1"/>
    <col min="4" max="4" width="11.33203125" bestFit="1" customWidth="1"/>
    <col min="5" max="5" width="16" bestFit="1" customWidth="1"/>
    <col min="6" max="6" width="12" bestFit="1" customWidth="1"/>
    <col min="7" max="8" width="10" bestFit="1" customWidth="1"/>
    <col min="9" max="9" width="8" customWidth="1"/>
    <col min="10" max="10" width="7.109375" bestFit="1" customWidth="1"/>
    <col min="11" max="11" width="12" bestFit="1" customWidth="1"/>
    <col min="12" max="12" width="12" customWidth="1"/>
    <col min="13" max="13" width="16.109375" bestFit="1" customWidth="1"/>
    <col min="15" max="15" width="12.33203125" customWidth="1"/>
  </cols>
  <sheetData>
    <row r="1" spans="2:14" x14ac:dyDescent="0.3">
      <c r="B1" s="12"/>
      <c r="D1" s="54" t="s">
        <v>0</v>
      </c>
      <c r="E1" s="55"/>
      <c r="F1" s="55"/>
      <c r="G1" s="51"/>
    </row>
    <row r="3" spans="2:14" x14ac:dyDescent="0.3">
      <c r="B3" s="78" t="s">
        <v>1</v>
      </c>
      <c r="C3" s="55"/>
      <c r="D3" s="55"/>
      <c r="E3" s="55"/>
      <c r="F3" s="55"/>
      <c r="G3" s="55"/>
      <c r="H3" s="55"/>
      <c r="I3" s="55"/>
      <c r="J3" s="55"/>
      <c r="K3" s="55"/>
      <c r="L3" s="51"/>
    </row>
    <row r="4" spans="2:14" x14ac:dyDescent="0.3">
      <c r="B4" s="82" t="s">
        <v>2</v>
      </c>
      <c r="C4" s="76" t="s">
        <v>3</v>
      </c>
      <c r="D4" s="52" t="s">
        <v>4</v>
      </c>
      <c r="E4" s="79" t="s">
        <v>5</v>
      </c>
      <c r="F4" s="55"/>
      <c r="G4" s="55"/>
      <c r="H4" s="55"/>
      <c r="I4" s="55"/>
      <c r="J4" s="51"/>
      <c r="K4" s="79" t="s">
        <v>6</v>
      </c>
      <c r="L4" s="51"/>
    </row>
    <row r="5" spans="2:14" ht="15" customHeight="1" thickBot="1" x14ac:dyDescent="0.35">
      <c r="B5" s="83"/>
      <c r="C5" s="77"/>
      <c r="D5" s="53"/>
      <c r="E5" s="2" t="s">
        <v>7</v>
      </c>
      <c r="F5" s="2" t="s">
        <v>7</v>
      </c>
      <c r="G5" s="2" t="s">
        <v>7</v>
      </c>
      <c r="H5" s="2" t="s">
        <v>7</v>
      </c>
      <c r="I5" s="66" t="s">
        <v>7</v>
      </c>
      <c r="J5" s="67"/>
      <c r="K5" s="2" t="s">
        <v>8</v>
      </c>
      <c r="L5" s="2" t="s">
        <v>9</v>
      </c>
    </row>
    <row r="6" spans="2:14" ht="24" customHeight="1" thickTop="1" x14ac:dyDescent="0.3">
      <c r="B6" s="19" t="s">
        <v>10</v>
      </c>
      <c r="C6" s="37" t="s">
        <v>11</v>
      </c>
      <c r="D6" s="4" t="s">
        <v>12</v>
      </c>
      <c r="E6" s="43" t="s">
        <v>13</v>
      </c>
      <c r="F6" s="43" t="s">
        <v>14</v>
      </c>
      <c r="G6" s="43" t="s">
        <v>15</v>
      </c>
      <c r="H6" s="43" t="s">
        <v>16</v>
      </c>
      <c r="I6" s="74" t="s">
        <v>17</v>
      </c>
      <c r="J6" s="75"/>
      <c r="K6" s="43" t="s">
        <v>18</v>
      </c>
      <c r="L6" s="44" t="s">
        <v>19</v>
      </c>
    </row>
    <row r="7" spans="2:14" ht="24" customHeight="1" x14ac:dyDescent="0.3">
      <c r="B7" s="19" t="s">
        <v>20</v>
      </c>
      <c r="C7" s="37" t="s">
        <v>11</v>
      </c>
      <c r="D7" s="4" t="s">
        <v>21</v>
      </c>
      <c r="E7" s="44" t="s">
        <v>22</v>
      </c>
      <c r="F7" s="44" t="s">
        <v>23</v>
      </c>
      <c r="G7" s="44" t="s">
        <v>15</v>
      </c>
      <c r="H7" s="44" t="s">
        <v>24</v>
      </c>
      <c r="I7" s="50" t="s">
        <v>25</v>
      </c>
      <c r="J7" s="51"/>
      <c r="K7" s="44" t="s">
        <v>18</v>
      </c>
      <c r="L7" s="44" t="s">
        <v>19</v>
      </c>
    </row>
    <row r="8" spans="2:14" ht="24" customHeight="1" x14ac:dyDescent="0.3">
      <c r="B8" s="19" t="s">
        <v>26</v>
      </c>
      <c r="C8" s="37" t="s">
        <v>11</v>
      </c>
      <c r="D8" s="10" t="s">
        <v>27</v>
      </c>
      <c r="E8" s="44" t="s">
        <v>28</v>
      </c>
      <c r="F8" s="44" t="s">
        <v>29</v>
      </c>
      <c r="G8" s="44" t="s">
        <v>30</v>
      </c>
      <c r="H8" s="44" t="s">
        <v>16</v>
      </c>
      <c r="I8" s="50" t="s">
        <v>31</v>
      </c>
      <c r="J8" s="51"/>
      <c r="K8" s="44" t="s">
        <v>32</v>
      </c>
      <c r="L8" s="44" t="s">
        <v>19</v>
      </c>
    </row>
    <row r="9" spans="2:14" ht="24" customHeight="1" x14ac:dyDescent="0.3">
      <c r="B9" s="19" t="s">
        <v>33</v>
      </c>
      <c r="C9" s="37" t="s">
        <v>11</v>
      </c>
      <c r="D9" s="10" t="s">
        <v>34</v>
      </c>
      <c r="E9" s="44" t="s">
        <v>28</v>
      </c>
      <c r="F9" s="44" t="s">
        <v>14</v>
      </c>
      <c r="G9" s="44" t="s">
        <v>30</v>
      </c>
      <c r="H9" s="44" t="s">
        <v>35</v>
      </c>
      <c r="I9" s="50" t="s">
        <v>36</v>
      </c>
      <c r="J9" s="51"/>
      <c r="K9" s="44" t="s">
        <v>32</v>
      </c>
      <c r="L9" s="44" t="s">
        <v>19</v>
      </c>
    </row>
    <row r="10" spans="2:14" ht="24" customHeight="1" thickBot="1" x14ac:dyDescent="0.35">
      <c r="B10" s="2" t="s">
        <v>37</v>
      </c>
      <c r="C10" s="37" t="s">
        <v>11</v>
      </c>
      <c r="D10" s="9" t="s">
        <v>38</v>
      </c>
      <c r="E10" s="45" t="s">
        <v>39</v>
      </c>
      <c r="F10" s="45" t="s">
        <v>14</v>
      </c>
      <c r="G10" s="45" t="s">
        <v>30</v>
      </c>
      <c r="H10" s="45" t="s">
        <v>35</v>
      </c>
      <c r="I10" s="84" t="s">
        <v>40</v>
      </c>
      <c r="J10" s="67"/>
      <c r="K10" s="45" t="s">
        <v>18</v>
      </c>
      <c r="L10" s="45" t="s">
        <v>19</v>
      </c>
    </row>
    <row r="11" spans="2:14" ht="15" customHeight="1" thickTop="1" x14ac:dyDescent="0.3"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</row>
    <row r="12" spans="2:14" ht="15" customHeight="1" thickBot="1" x14ac:dyDescent="0.35">
      <c r="B12" s="3" t="s">
        <v>41</v>
      </c>
      <c r="K12" s="20"/>
    </row>
    <row r="13" spans="2:14" ht="15.6" customHeight="1" thickTop="1" thickBot="1" x14ac:dyDescent="0.35">
      <c r="B13" s="85" t="s">
        <v>42</v>
      </c>
      <c r="C13" s="70"/>
      <c r="D13" s="70"/>
      <c r="E13" s="70"/>
      <c r="F13" s="68" t="s">
        <v>43</v>
      </c>
      <c r="G13" s="59"/>
      <c r="H13" s="69" t="s">
        <v>44</v>
      </c>
      <c r="I13" s="70"/>
      <c r="J13" s="70"/>
      <c r="K13" s="70"/>
      <c r="L13" s="71"/>
      <c r="M13" s="58" t="s">
        <v>45</v>
      </c>
      <c r="N13" s="59"/>
    </row>
    <row r="14" spans="2:14" ht="15" customHeight="1" thickTop="1" x14ac:dyDescent="0.3">
      <c r="B14" s="80" t="s">
        <v>46</v>
      </c>
      <c r="C14" s="60" t="s">
        <v>47</v>
      </c>
      <c r="D14" s="60" t="s">
        <v>48</v>
      </c>
      <c r="E14" s="86" t="s">
        <v>49</v>
      </c>
      <c r="F14" s="72" t="s">
        <v>50</v>
      </c>
      <c r="G14" s="56" t="s">
        <v>51</v>
      </c>
      <c r="H14" s="73" t="s">
        <v>52</v>
      </c>
      <c r="I14" s="60" t="s">
        <v>46</v>
      </c>
      <c r="J14" s="60" t="s">
        <v>47</v>
      </c>
      <c r="K14" s="62" t="s">
        <v>53</v>
      </c>
      <c r="L14" s="81" t="s">
        <v>54</v>
      </c>
      <c r="M14" s="64" t="s">
        <v>55</v>
      </c>
      <c r="N14" s="48" t="s">
        <v>56</v>
      </c>
    </row>
    <row r="15" spans="2:14" x14ac:dyDescent="0.3">
      <c r="B15" s="65"/>
      <c r="C15" s="61"/>
      <c r="D15" s="61"/>
      <c r="E15" s="61"/>
      <c r="F15" s="49"/>
      <c r="G15" s="57"/>
      <c r="H15" s="65"/>
      <c r="I15" s="61"/>
      <c r="J15" s="61"/>
      <c r="K15" s="63"/>
      <c r="L15" s="49"/>
      <c r="M15" s="65"/>
      <c r="N15" s="49"/>
    </row>
    <row r="16" spans="2:14" x14ac:dyDescent="0.3">
      <c r="B16" s="24" t="s">
        <v>57</v>
      </c>
      <c r="C16" s="21" t="s">
        <v>57</v>
      </c>
      <c r="D16" s="21" t="s">
        <v>57</v>
      </c>
      <c r="E16" s="22"/>
      <c r="F16" s="23" t="s">
        <v>57</v>
      </c>
      <c r="G16" s="8" t="s">
        <v>58</v>
      </c>
      <c r="H16" s="7" t="s">
        <v>58</v>
      </c>
      <c r="I16" s="24">
        <f>SUM(J16:K16)</f>
        <v>0</v>
      </c>
      <c r="J16" s="21" t="s">
        <v>57</v>
      </c>
      <c r="K16" s="25" t="s">
        <v>57</v>
      </c>
      <c r="L16" s="26" t="s">
        <v>57</v>
      </c>
      <c r="M16" s="6" t="s">
        <v>58</v>
      </c>
      <c r="N16" s="27" t="str">
        <f>C16</f>
        <v>0</v>
      </c>
    </row>
  </sheetData>
  <mergeCells count="30">
    <mergeCell ref="I6:J6"/>
    <mergeCell ref="C4:C5"/>
    <mergeCell ref="B3:L3"/>
    <mergeCell ref="K4:L4"/>
    <mergeCell ref="B14:B15"/>
    <mergeCell ref="L14:L15"/>
    <mergeCell ref="J14:J15"/>
    <mergeCell ref="B4:B5"/>
    <mergeCell ref="I10:J10"/>
    <mergeCell ref="B13:E13"/>
    <mergeCell ref="C14:C15"/>
    <mergeCell ref="E4:J4"/>
    <mergeCell ref="I9:J9"/>
    <mergeCell ref="E14:E15"/>
    <mergeCell ref="N14:N15"/>
    <mergeCell ref="I7:J7"/>
    <mergeCell ref="D4:D5"/>
    <mergeCell ref="D1:G1"/>
    <mergeCell ref="G14:G15"/>
    <mergeCell ref="M13:N13"/>
    <mergeCell ref="I14:I15"/>
    <mergeCell ref="K14:K15"/>
    <mergeCell ref="M14:M15"/>
    <mergeCell ref="I5:J5"/>
    <mergeCell ref="F13:G13"/>
    <mergeCell ref="I8:J8"/>
    <mergeCell ref="H13:L13"/>
    <mergeCell ref="D14:D15"/>
    <mergeCell ref="F14:F15"/>
    <mergeCell ref="H14:H15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Statement</vt:lpstr>
      <vt:lpstr>F02.CFG-Paths</vt:lpstr>
      <vt:lpstr>F02.TCs</vt:lpstr>
      <vt:lpstr>WBT-TCs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RAUL BÎRSAN</cp:lastModifiedBy>
  <dcterms:created xsi:type="dcterms:W3CDTF">2006-09-16T00:00:00Z</dcterms:created>
  <dcterms:modified xsi:type="dcterms:W3CDTF">2026-04-22T08:52:19Z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